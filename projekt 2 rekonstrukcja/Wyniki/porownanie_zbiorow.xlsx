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LL" sheetId="1" state="visible" r:id="rId3"/>
    <sheet name="ALL_2" sheetId="2" state="visible" r:id="rId4"/>
    <sheet name="AAAA" sheetId="3" state="visible" r:id="rId5"/>
    <sheet name="BTU" sheetId="4" state="visible" r:id="rId6"/>
    <sheet name="BTU_2" sheetId="5" state="visible" r:id="rId7"/>
    <sheet name="HEC" sheetId="6" state="visible" r:id="rId8"/>
    <sheet name="HEC_2" sheetId="7" state="visible" r:id="rId9"/>
    <sheet name="HFF" sheetId="8" state="visible" r:id="rId10"/>
    <sheet name="HFF_2" sheetId="9" state="visible" r:id="rId11"/>
    <sheet name="SPS" sheetId="10" state="visible" r:id="rId12"/>
    <sheet name="SPS_2" sheetId="11" state="visible" r:id="rId13"/>
    <sheet name="SSH" sheetId="12" state="visible" r:id="rId14"/>
    <sheet name="SSH_2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<sst xmlns="http://schemas.openxmlformats.org/spreadsheetml/2006/main" count="4772" uniqueCount="128">
  <si>
    <t xml:space="preserve">ALL</t>
  </si>
  <si>
    <t xml:space="preserve">RandomForest</t>
  </si>
  <si>
    <t xml:space="preserve">model</t>
  </si>
  <si>
    <t xml:space="preserve">base_model</t>
  </si>
  <si>
    <t xml:space="preserve">kategoria</t>
  </si>
  <si>
    <t xml:space="preserve">cechy</t>
  </si>
  <si>
    <t xml:space="preserve">accuracy</t>
  </si>
  <si>
    <t xml:space="preserve">balanced_accuracy</t>
  </si>
  <si>
    <t xml:space="preserve">f1_score</t>
  </si>
  <si>
    <t xml:space="preserve">precision</t>
  </si>
  <si>
    <t xml:space="preserve">recall</t>
  </si>
  <si>
    <t xml:space="preserve">stdev</t>
  </si>
  <si>
    <t xml:space="preserve">RandomForest_OverSampler</t>
  </si>
  <si>
    <t xml:space="preserve">Oversampling</t>
  </si>
  <si>
    <t xml:space="preserve">FULL</t>
  </si>
  <si>
    <t xml:space="preserve">RandomForest_BorderlineSmote</t>
  </si>
  <si>
    <t xml:space="preserve">RandomForest_SMOTETomek</t>
  </si>
  <si>
    <t xml:space="preserve">HistGradientBoosting</t>
  </si>
  <si>
    <t xml:space="preserve">Czysty</t>
  </si>
  <si>
    <t xml:space="preserve">HistGradientBoosting_OverSampler</t>
  </si>
  <si>
    <t xml:space="preserve">HistGradientBoosting_SMOTETomek</t>
  </si>
  <si>
    <t xml:space="preserve">HistGradientBoosting_BorderlineSmote</t>
  </si>
  <si>
    <t xml:space="preserve">DecisionTree_SMOTETomek</t>
  </si>
  <si>
    <t xml:space="preserve">DecisionTree</t>
  </si>
  <si>
    <t xml:space="preserve">DecisionTree_BorderlineSmote</t>
  </si>
  <si>
    <t xml:space="preserve">AdaBoost_BorderlineSmote</t>
  </si>
  <si>
    <t xml:space="preserve">AdaBoost</t>
  </si>
  <si>
    <t xml:space="preserve">DecisionTree_OverSampler</t>
  </si>
  <si>
    <t xml:space="preserve">AdaBoost_SMOTETomek</t>
  </si>
  <si>
    <t xml:space="preserve">HistGradientBoosting_OverSampler_OneSidedSelection</t>
  </si>
  <si>
    <t xml:space="preserve">AdaBoost_OverSampler</t>
  </si>
  <si>
    <t xml:space="preserve">RandomForest_OverSampler_ClusterCentroids</t>
  </si>
  <si>
    <t xml:space="preserve">RandomForest_BorderlineSmote_ClusterCentroids</t>
  </si>
  <si>
    <t xml:space="preserve">RandomForest_OverSampler_OneSidedSelection</t>
  </si>
  <si>
    <t xml:space="preserve">HistGradientBoosting_BorderlineSmote_OneSidedSelection</t>
  </si>
  <si>
    <t xml:space="preserve">AdaBoost_OverSampler_OneSidedSelection</t>
  </si>
  <si>
    <t xml:space="preserve">AdaBoost_BorderlineSmote_OneSidedSelection</t>
  </si>
  <si>
    <t xml:space="preserve">DecisionTree_BorderlineSmote_OneSidedSelection</t>
  </si>
  <si>
    <t xml:space="preserve">AdaBoost_BorderlineSmote_ClusterCentroids</t>
  </si>
  <si>
    <t xml:space="preserve">AdaBoost_OverSampler_ClusterCentroids</t>
  </si>
  <si>
    <t xml:space="preserve">RandomForest_OverSampler_UnderSampler</t>
  </si>
  <si>
    <t xml:space="preserve">DecisionTree_OverSampler_OneSidedSelection</t>
  </si>
  <si>
    <t xml:space="preserve">RandomForest_BorderlineSmote_UnderSampler</t>
  </si>
  <si>
    <t xml:space="preserve">AdaBoost_BorderlineSmote_UnderSampler</t>
  </si>
  <si>
    <t xml:space="preserve">DecisionTree_BorderlineSmote_ClusterCentroids</t>
  </si>
  <si>
    <t xml:space="preserve">RandomForest_SMOTEENN</t>
  </si>
  <si>
    <t xml:space="preserve">DecisionTree_OverSampler_ClusterCentroids</t>
  </si>
  <si>
    <t xml:space="preserve">DecisionTree_SMOTEENN</t>
  </si>
  <si>
    <t xml:space="preserve">AdaBoost_OverSampler_UnderSampler</t>
  </si>
  <si>
    <t xml:space="preserve">HistGradientBoosting_SMOTEENN</t>
  </si>
  <si>
    <t xml:space="preserve">DecisionTree_BorderlineSmote_UnderSampler</t>
  </si>
  <si>
    <t xml:space="preserve">AdaBoost_SMOTEENN</t>
  </si>
  <si>
    <t xml:space="preserve">DecisionTree_OverSampler_UnderSampler</t>
  </si>
  <si>
    <t xml:space="preserve">HistGradientBoosting_BorderlineSmote_ClusterCentroids</t>
  </si>
  <si>
    <t xml:space="preserve">HistGradientBoosting_BorderlineSmote_UnderSampler</t>
  </si>
  <si>
    <t xml:space="preserve">HistGradientBoosting_OverSampler_ClusterCentroids</t>
  </si>
  <si>
    <t xml:space="preserve">HistGradientBoosting_OverSampler_UnderSampler</t>
  </si>
  <si>
    <t xml:space="preserve">AdaBoost_SMOTE</t>
  </si>
  <si>
    <t xml:space="preserve">AdaBoost_SMOTE_ClusterCentroids</t>
  </si>
  <si>
    <t xml:space="preserve">AdaBoost_SMOTE_UnderSampler</t>
  </si>
  <si>
    <t xml:space="preserve">AdaBoost_SVMSMOTE</t>
  </si>
  <si>
    <t xml:space="preserve">DecisionTree_SMOTE</t>
  </si>
  <si>
    <t xml:space="preserve">DecisionTree_SMOTE_ClusterCentroids</t>
  </si>
  <si>
    <t xml:space="preserve">DecisionTree_SMOTE_UnderSampler</t>
  </si>
  <si>
    <t xml:space="preserve">DecisionTree_SVMSMOTE</t>
  </si>
  <si>
    <t xml:space="preserve">HistGradientBoosting_SMOTE</t>
  </si>
  <si>
    <t xml:space="preserve">HistGradientBoosting_SMOTE_ClusterCentroids</t>
  </si>
  <si>
    <t xml:space="preserve">HistGradientBoosting_SMOTE_UnderSampler</t>
  </si>
  <si>
    <t xml:space="preserve">HistGradientBoosting_SVMSMOTE</t>
  </si>
  <si>
    <t xml:space="preserve">RandomForest_BorderlineSmote_OneSidedSelection</t>
  </si>
  <si>
    <t xml:space="preserve">RandomForest_SMOTE</t>
  </si>
  <si>
    <t xml:space="preserve">RandomForest_SMOTE_ClusterCentroids</t>
  </si>
  <si>
    <t xml:space="preserve">RandomForest_SMOTE_UnderSampler</t>
  </si>
  <si>
    <t xml:space="preserve">RandomForest_SVMSMOTE</t>
  </si>
  <si>
    <t xml:space="preserve">SEL</t>
  </si>
  <si>
    <t xml:space="preserve">(FULL) Odch.std</t>
  </si>
  <si>
    <t xml:space="preserve">(SEL) Odch.std</t>
  </si>
  <si>
    <t xml:space="preserve">Model</t>
  </si>
  <si>
    <t xml:space="preserve">F1 score</t>
  </si>
  <si>
    <t xml:space="preserve">BorderlineSmote</t>
  </si>
  <si>
    <t xml:space="preserve">SMOTETomek</t>
  </si>
  <si>
    <t xml:space="preserve">RandomOverSampler</t>
  </si>
  <si>
    <t xml:space="preserve">RandomOverSampler\newline+ClusterCentroids</t>
  </si>
  <si>
    <t xml:space="preserve">BorderlineSmote\newline+ClusterCentroids</t>
  </si>
  <si>
    <t xml:space="preserve">RandomOverSampler\newline+OneSidedSelection</t>
  </si>
  <si>
    <t xml:space="preserve">BorderlineSmote\newline+RandomUnderSampler</t>
  </si>
  <si>
    <t xml:space="preserve">RandomOverSampler\newline+RandomUnderSampler</t>
  </si>
  <si>
    <t xml:space="preserve">SMOTEENN</t>
  </si>
  <si>
    <t xml:space="preserve">BorderlineSmote\newline+OneSidedSelection</t>
  </si>
  <si>
    <t xml:space="preserve">RF+BorderlineSmote</t>
  </si>
  <si>
    <t xml:space="preserve">HGB+SMOTETomek</t>
  </si>
  <si>
    <t xml:space="preserve">BTU</t>
  </si>
  <si>
    <t xml:space="preserve">RF+SMOTE</t>
  </si>
  <si>
    <t xml:space="preserve">DT+SMOTETomek</t>
  </si>
  <si>
    <t xml:space="preserve">HEC</t>
  </si>
  <si>
    <t xml:space="preserve">RF+RandomOverSampler</t>
  </si>
  <si>
    <t xml:space="preserve">DT+BorderlineSmote</t>
  </si>
  <si>
    <t xml:space="preserve">AB+BorderlineSmote</t>
  </si>
  <si>
    <t xml:space="preserve">HFF</t>
  </si>
  <si>
    <t xml:space="preserve">HGB+SMOTE</t>
  </si>
  <si>
    <t xml:space="preserve">AB+RandomOverSampler</t>
  </si>
  <si>
    <t xml:space="preserve">SPS</t>
  </si>
  <si>
    <t xml:space="preserve">RF+RandomOverSampler+RandomUnderSampler</t>
  </si>
  <si>
    <t xml:space="preserve">SSH</t>
  </si>
  <si>
    <t xml:space="preserve">HGB+BorderlineSmote</t>
  </si>
  <si>
    <t xml:space="preserve">DT+RandomOverSampler</t>
  </si>
  <si>
    <t xml:space="preserve">AB+SMOTE</t>
  </si>
  <si>
    <t xml:space="preserve">Zbiór </t>
  </si>
  <si>
    <t xml:space="preserve"> FULL   </t>
  </si>
  <si>
    <t xml:space="preserve"> SEL</t>
  </si>
  <si>
    <t xml:space="preserve">ALL   </t>
  </si>
  <si>
    <t xml:space="preserve">BTU   </t>
  </si>
  <si>
    <t xml:space="preserve">HGB+RandomOverSampler</t>
  </si>
  <si>
    <t xml:space="preserve">HEC   </t>
  </si>
  <si>
    <t xml:space="preserve">DT+SVMSMOTE</t>
  </si>
  <si>
    <t xml:space="preserve">HFF   </t>
  </si>
  <si>
    <t xml:space="preserve">SPS   </t>
  </si>
  <si>
    <t xml:space="preserve">SSH   </t>
  </si>
  <si>
    <t xml:space="preserve">HGB+SMOTE+ClusterCentroids</t>
  </si>
  <si>
    <t xml:space="preserve">HGB+SVMSMOTE</t>
  </si>
  <si>
    <t xml:space="preserve">DT+BorderlineSmote+RandomUnderSampler</t>
  </si>
  <si>
    <t xml:space="preserve">RF+SMOTETomek</t>
  </si>
  <si>
    <t xml:space="preserve">DT+BorderlineSmote+OneSidedSelection</t>
  </si>
  <si>
    <t xml:space="preserve">SMOTE</t>
  </si>
  <si>
    <t xml:space="preserve">SMOTE\newline+ClusterCentroids</t>
  </si>
  <si>
    <t xml:space="preserve">SMOTE\newline+RandomUnderSampler</t>
  </si>
  <si>
    <t xml:space="preserve">SVMSMOTE</t>
  </si>
  <si>
    <t xml:space="preserve">f1 score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</si>
</sst>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0"/>
      <charset val="1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AAAA!$I$17</c:f>
              <c:strCache>
                <c:ptCount val="1"/>
                <c:pt idx="0">
                  <c:v> FULL   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AAAA!$H$18:$H$23</c:f>
              <c:strCache>
                <c:ptCount val="6"/>
                <c:pt idx="0">
                  <c:v>ALL   </c:v>
                </c:pt>
                <c:pt idx="1">
                  <c:v>BTU   </c:v>
                </c:pt>
                <c:pt idx="2">
                  <c:v>HEC   </c:v>
                </c:pt>
                <c:pt idx="3">
                  <c:v>HFF   </c:v>
                </c:pt>
                <c:pt idx="4">
                  <c:v>SPS   </c:v>
                </c:pt>
                <c:pt idx="5">
                  <c:v>SSH   </c:v>
                </c:pt>
              </c:strCache>
            </c:strRef>
          </c:cat>
          <c:val>
            <c:numRef>
              <c:f>AAAA!$I$18:$I$23</c:f>
              <c:numCache>
                <c:formatCode>General</c:formatCode>
                <c:ptCount val="6"/>
                <c:pt idx="0">
                  <c:v>0.7032</c:v>
                </c:pt>
                <c:pt idx="1">
                  <c:v>0.654</c:v>
                </c:pt>
                <c:pt idx="2">
                  <c:v>0.8861</c:v>
                </c:pt>
                <c:pt idx="3">
                  <c:v>0.6568</c:v>
                </c:pt>
                <c:pt idx="4">
                  <c:v>0.8032</c:v>
                </c:pt>
                <c:pt idx="5">
                  <c:v>0.4303</c:v>
                </c:pt>
              </c:numCache>
            </c:numRef>
          </c:val>
        </c:ser>
        <c:ser>
          <c:idx val="1"/>
          <c:order val="1"/>
          <c:tx>
            <c:strRef>
              <c:f>AAAA!$J$17</c:f>
              <c:strCache>
                <c:ptCount val="1"/>
                <c:pt idx="0">
                  <c:v> SEL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AAAA!$H$18:$H$23</c:f>
              <c:strCache>
                <c:ptCount val="6"/>
                <c:pt idx="0">
                  <c:v>ALL   </c:v>
                </c:pt>
                <c:pt idx="1">
                  <c:v>BTU   </c:v>
                </c:pt>
                <c:pt idx="2">
                  <c:v>HEC   </c:v>
                </c:pt>
                <c:pt idx="3">
                  <c:v>HFF   </c:v>
                </c:pt>
                <c:pt idx="4">
                  <c:v>SPS   </c:v>
                </c:pt>
                <c:pt idx="5">
                  <c:v>SSH   </c:v>
                </c:pt>
              </c:strCache>
            </c:strRef>
          </c:cat>
          <c:val>
            <c:numRef>
              <c:f>AAAA!$J$18:$J$23</c:f>
              <c:numCache>
                <c:formatCode>General</c:formatCode>
                <c:ptCount val="6"/>
                <c:pt idx="0">
                  <c:v>0.6887</c:v>
                </c:pt>
                <c:pt idx="1">
                  <c:v>0.6481</c:v>
                </c:pt>
                <c:pt idx="2">
                  <c:v>0.8955</c:v>
                </c:pt>
                <c:pt idx="3">
                  <c:v>0.6922</c:v>
                </c:pt>
                <c:pt idx="4">
                  <c:v>0.8193</c:v>
                </c:pt>
                <c:pt idx="5">
                  <c:v>0.432</c:v>
                </c:pt>
              </c:numCache>
            </c:numRef>
          </c:val>
        </c:ser>
        <c:gapWidth val="100"/>
        <c:overlap val="100"/>
        <c:axId val="85329214"/>
        <c:axId val="51424560"/>
      </c:barChart>
      <c:catAx>
        <c:axId val="8532921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1424560"/>
        <c:crosses val="autoZero"/>
        <c:auto val="1"/>
        <c:lblAlgn val="ctr"/>
        <c:lblOffset val="100"/>
        <c:noMultiLvlLbl val="0"/>
      </c:catAx>
      <c:valAx>
        <c:axId val="51424560"/>
        <c:scaling>
          <c:orientation val="minMax"/>
          <c:max val="1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5329214"/>
        <c:crossesAt val="1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663840</xdr:colOff>
      <xdr:row>15</xdr:row>
      <xdr:rowOff>36360</xdr:rowOff>
    </xdr:from>
    <xdr:to>
      <xdr:col>17</xdr:col>
      <xdr:colOff>733680</xdr:colOff>
      <xdr:row>33</xdr:row>
      <xdr:rowOff>121320</xdr:rowOff>
    </xdr:to>
    <xdr:graphicFrame>
      <xdr:nvGraphicFramePr>
        <xdr:cNvPr id="1" name=""/>
        <xdr:cNvGraphicFramePr/>
      </xdr:nvGraphicFramePr>
      <xdr:xfrm>
        <a:off x="10710720" y="2665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8" activeCellId="0" sqref="A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.78"/>
    <col collapsed="false" customWidth="true" hidden="false" outlineLevel="0" max="2" min="2" style="1" width="27.96"/>
    <col collapsed="false" customWidth="true" hidden="false" outlineLevel="0" max="5" min="5" style="1" width="27.42"/>
    <col collapsed="false" customWidth="true" hidden="false" outlineLevel="0" max="6" min="6" style="1" width="17.67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15" hidden="false" customHeight="false" outlineLevel="0" collapsed="false">
      <c r="A4" s="1" t="s">
        <v>12</v>
      </c>
      <c r="B4" s="1" t="s">
        <v>1</v>
      </c>
      <c r="C4" s="1" t="s">
        <v>13</v>
      </c>
      <c r="D4" s="1" t="s">
        <v>14</v>
      </c>
      <c r="E4" s="1" t="n">
        <v>0.8737</v>
      </c>
      <c r="F4" s="1" t="n">
        <v>0.6413</v>
      </c>
      <c r="G4" s="1" t="n">
        <v>0.6291</v>
      </c>
      <c r="H4" s="1" t="n">
        <v>0.6248</v>
      </c>
      <c r="I4" s="1" t="n">
        <v>0.6413</v>
      </c>
      <c r="J4" s="1" t="n">
        <v>0.0103</v>
      </c>
    </row>
    <row r="5" customFormat="false" ht="15" hidden="false" customHeight="false" outlineLevel="0" collapsed="false">
      <c r="A5" s="1" t="s">
        <v>15</v>
      </c>
      <c r="B5" s="1" t="s">
        <v>1</v>
      </c>
      <c r="C5" s="1" t="s">
        <v>13</v>
      </c>
      <c r="D5" s="1" t="s">
        <v>14</v>
      </c>
      <c r="E5" s="1" t="n">
        <v>0.8702</v>
      </c>
      <c r="F5" s="1" t="n">
        <v>0.6403</v>
      </c>
      <c r="G5" s="1" t="n">
        <v>0.633</v>
      </c>
      <c r="H5" s="1" t="n">
        <v>0.632</v>
      </c>
      <c r="I5" s="1" t="n">
        <v>0.6403</v>
      </c>
      <c r="J5" s="1" t="n">
        <v>0.0188</v>
      </c>
    </row>
    <row r="6" customFormat="false" ht="15" hidden="false" customHeight="false" outlineLevel="0" collapsed="false">
      <c r="A6" s="1" t="s">
        <v>16</v>
      </c>
      <c r="B6" s="1" t="s">
        <v>1</v>
      </c>
      <c r="C6" s="1" t="s">
        <v>13</v>
      </c>
      <c r="D6" s="1" t="s">
        <v>14</v>
      </c>
      <c r="E6" s="1" t="n">
        <v>0.8561</v>
      </c>
      <c r="F6" s="1" t="n">
        <v>0.6397</v>
      </c>
      <c r="G6" s="1" t="n">
        <v>0.6292</v>
      </c>
      <c r="H6" s="1" t="n">
        <v>0.6247</v>
      </c>
      <c r="I6" s="1" t="n">
        <v>0.6397</v>
      </c>
      <c r="J6" s="1" t="n">
        <v>0.0101</v>
      </c>
    </row>
    <row r="7" customFormat="false" ht="15" hidden="false" customHeight="false" outlineLevel="0" collapsed="false">
      <c r="A7" s="1" t="s">
        <v>17</v>
      </c>
      <c r="B7" s="1" t="s">
        <v>17</v>
      </c>
      <c r="C7" s="1" t="s">
        <v>18</v>
      </c>
      <c r="D7" s="1" t="s">
        <v>14</v>
      </c>
      <c r="E7" s="1" t="n">
        <v>0.8351</v>
      </c>
      <c r="F7" s="1" t="n">
        <v>0.6077</v>
      </c>
      <c r="G7" s="1" t="n">
        <v>0.5996</v>
      </c>
      <c r="H7" s="1" t="n">
        <v>0.6068</v>
      </c>
      <c r="I7" s="1" t="n">
        <v>0.6077</v>
      </c>
      <c r="J7" s="1" t="n">
        <v>0.0183</v>
      </c>
    </row>
    <row r="8" customFormat="false" ht="15" hidden="false" customHeight="false" outlineLevel="0" collapsed="false">
      <c r="A8" s="1" t="s">
        <v>19</v>
      </c>
      <c r="B8" s="1" t="s">
        <v>17</v>
      </c>
      <c r="C8" s="1" t="s">
        <v>13</v>
      </c>
      <c r="D8" s="1" t="s">
        <v>14</v>
      </c>
      <c r="E8" s="1" t="n">
        <v>0.8228</v>
      </c>
      <c r="F8" s="1" t="n">
        <v>0.686</v>
      </c>
      <c r="G8" s="1" t="n">
        <v>0.6759</v>
      </c>
      <c r="H8" s="1" t="n">
        <v>0.6787</v>
      </c>
      <c r="I8" s="1" t="n">
        <v>0.686</v>
      </c>
      <c r="J8" s="1" t="n">
        <v>0.0507</v>
      </c>
    </row>
    <row r="9" customFormat="false" ht="15" hidden="false" customHeight="false" outlineLevel="0" collapsed="false">
      <c r="A9" s="1" t="s">
        <v>1</v>
      </c>
      <c r="B9" s="1" t="s">
        <v>1</v>
      </c>
      <c r="C9" s="1" t="s">
        <v>18</v>
      </c>
      <c r="D9" s="1" t="s">
        <v>14</v>
      </c>
      <c r="E9" s="1" t="n">
        <v>0.8211</v>
      </c>
      <c r="F9" s="1" t="n">
        <v>0.5458</v>
      </c>
      <c r="G9" s="1" t="n">
        <v>0.5307</v>
      </c>
      <c r="H9" s="1" t="n">
        <v>0.5732</v>
      </c>
      <c r="I9" s="1" t="n">
        <v>0.5458</v>
      </c>
      <c r="J9" s="1" t="n">
        <v>0.0245</v>
      </c>
    </row>
    <row r="10" customFormat="false" ht="15" hidden="false" customHeight="false" outlineLevel="0" collapsed="false">
      <c r="A10" s="1" t="s">
        <v>20</v>
      </c>
      <c r="B10" s="1" t="s">
        <v>17</v>
      </c>
      <c r="C10" s="1" t="s">
        <v>13</v>
      </c>
      <c r="D10" s="1" t="s">
        <v>14</v>
      </c>
      <c r="E10" s="1" t="n">
        <v>0.8158</v>
      </c>
      <c r="F10" s="1" t="n">
        <v>0.7064</v>
      </c>
      <c r="G10" s="1" t="n">
        <v>0.7032</v>
      </c>
      <c r="H10" s="1" t="n">
        <v>0.7213</v>
      </c>
      <c r="I10" s="1" t="n">
        <v>0.7064</v>
      </c>
      <c r="J10" s="1" t="n">
        <v>0.1225</v>
      </c>
    </row>
    <row r="11" customFormat="false" ht="15" hidden="false" customHeight="false" outlineLevel="0" collapsed="false">
      <c r="A11" s="1" t="s">
        <v>21</v>
      </c>
      <c r="B11" s="1" t="s">
        <v>17</v>
      </c>
      <c r="C11" s="1" t="s">
        <v>13</v>
      </c>
      <c r="D11" s="1" t="s">
        <v>14</v>
      </c>
      <c r="E11" s="1" t="n">
        <v>0.8123</v>
      </c>
      <c r="F11" s="1" t="n">
        <v>0.6306</v>
      </c>
      <c r="G11" s="1" t="n">
        <v>0.622</v>
      </c>
      <c r="H11" s="1" t="n">
        <v>0.6242</v>
      </c>
      <c r="I11" s="1" t="n">
        <v>0.6306</v>
      </c>
      <c r="J11" s="1" t="n">
        <v>0.0584</v>
      </c>
    </row>
    <row r="12" customFormat="false" ht="15" hidden="false" customHeight="false" outlineLevel="0" collapsed="false">
      <c r="A12" s="1" t="s">
        <v>22</v>
      </c>
      <c r="B12" s="1" t="s">
        <v>23</v>
      </c>
      <c r="C12" s="1" t="s">
        <v>13</v>
      </c>
      <c r="D12" s="1" t="s">
        <v>14</v>
      </c>
      <c r="E12" s="1" t="n">
        <v>0.7526</v>
      </c>
      <c r="F12" s="1" t="n">
        <v>0.6192</v>
      </c>
      <c r="G12" s="1" t="n">
        <v>0.6077</v>
      </c>
      <c r="H12" s="1" t="n">
        <v>0.609</v>
      </c>
      <c r="I12" s="1" t="n">
        <v>0.6192</v>
      </c>
      <c r="J12" s="1" t="n">
        <v>0.0693</v>
      </c>
    </row>
    <row r="13" customFormat="false" ht="15" hidden="false" customHeight="false" outlineLevel="0" collapsed="false">
      <c r="A13" s="1" t="s">
        <v>24</v>
      </c>
      <c r="B13" s="1" t="s">
        <v>23</v>
      </c>
      <c r="C13" s="1" t="s">
        <v>13</v>
      </c>
      <c r="D13" s="1" t="s">
        <v>14</v>
      </c>
      <c r="E13" s="1" t="n">
        <v>0.7404</v>
      </c>
      <c r="F13" s="1" t="n">
        <v>0.6006</v>
      </c>
      <c r="G13" s="1" t="n">
        <v>0.5892</v>
      </c>
      <c r="H13" s="1" t="n">
        <v>0.6103</v>
      </c>
      <c r="I13" s="1" t="n">
        <v>0.6006</v>
      </c>
      <c r="J13" s="1" t="n">
        <v>0.0622</v>
      </c>
    </row>
    <row r="14" customFormat="false" ht="15" hidden="false" customHeight="false" outlineLevel="0" collapsed="false">
      <c r="A14" s="1" t="s">
        <v>23</v>
      </c>
      <c r="B14" s="1" t="s">
        <v>23</v>
      </c>
      <c r="C14" s="1" t="s">
        <v>18</v>
      </c>
      <c r="D14" s="1" t="s">
        <v>14</v>
      </c>
      <c r="E14" s="1" t="n">
        <v>0.7281</v>
      </c>
      <c r="F14" s="1" t="n">
        <v>0.5685</v>
      </c>
      <c r="G14" s="1" t="n">
        <v>0.5587</v>
      </c>
      <c r="H14" s="1" t="n">
        <v>0.5693</v>
      </c>
      <c r="I14" s="1" t="n">
        <v>0.5685</v>
      </c>
      <c r="J14" s="1" t="n">
        <v>0.0653</v>
      </c>
    </row>
    <row r="15" customFormat="false" ht="15" hidden="false" customHeight="false" outlineLevel="0" collapsed="false">
      <c r="A15" s="1" t="s">
        <v>25</v>
      </c>
      <c r="B15" s="1" t="s">
        <v>26</v>
      </c>
      <c r="C15" s="1" t="s">
        <v>13</v>
      </c>
      <c r="D15" s="1" t="s">
        <v>14</v>
      </c>
      <c r="E15" s="1" t="n">
        <v>0.7228</v>
      </c>
      <c r="F15" s="1" t="n">
        <v>0.5722</v>
      </c>
      <c r="G15" s="1" t="n">
        <v>0.5714</v>
      </c>
      <c r="H15" s="1" t="n">
        <v>0.62</v>
      </c>
      <c r="I15" s="1" t="n">
        <v>0.5722</v>
      </c>
      <c r="J15" s="1" t="n">
        <v>0.092</v>
      </c>
    </row>
    <row r="16" customFormat="false" ht="15" hidden="false" customHeight="false" outlineLevel="0" collapsed="false">
      <c r="A16" s="1" t="s">
        <v>27</v>
      </c>
      <c r="B16" s="1" t="s">
        <v>23</v>
      </c>
      <c r="C16" s="1" t="s">
        <v>13</v>
      </c>
      <c r="D16" s="1" t="s">
        <v>14</v>
      </c>
      <c r="E16" s="1" t="n">
        <v>0.7088</v>
      </c>
      <c r="F16" s="1" t="n">
        <v>0.5855</v>
      </c>
      <c r="G16" s="1" t="n">
        <v>0.5783</v>
      </c>
      <c r="H16" s="1" t="n">
        <v>0.5837</v>
      </c>
      <c r="I16" s="1" t="n">
        <v>0.5855</v>
      </c>
      <c r="J16" s="1" t="n">
        <v>0.1125</v>
      </c>
    </row>
    <row r="17" customFormat="false" ht="15" hidden="false" customHeight="false" outlineLevel="0" collapsed="false">
      <c r="A17" s="1" t="s">
        <v>26</v>
      </c>
      <c r="B17" s="1" t="s">
        <v>26</v>
      </c>
      <c r="C17" s="1" t="s">
        <v>18</v>
      </c>
      <c r="D17" s="1" t="s">
        <v>14</v>
      </c>
      <c r="E17" s="1" t="n">
        <v>0.686</v>
      </c>
      <c r="F17" s="1" t="n">
        <v>0.4757</v>
      </c>
      <c r="G17" s="1" t="n">
        <v>0.4659</v>
      </c>
      <c r="H17" s="1" t="n">
        <v>0.5235</v>
      </c>
      <c r="I17" s="1" t="n">
        <v>0.4757</v>
      </c>
      <c r="J17" s="1" t="n">
        <v>0.0901</v>
      </c>
    </row>
    <row r="18" customFormat="false" ht="15" hidden="false" customHeight="false" outlineLevel="0" collapsed="false">
      <c r="A18" s="1" t="s">
        <v>28</v>
      </c>
      <c r="B18" s="1" t="s">
        <v>26</v>
      </c>
      <c r="C18" s="1" t="s">
        <v>13</v>
      </c>
      <c r="D18" s="1" t="s">
        <v>14</v>
      </c>
      <c r="E18" s="1" t="n">
        <v>0.6509</v>
      </c>
      <c r="F18" s="1" t="n">
        <v>0.4692</v>
      </c>
      <c r="G18" s="1" t="n">
        <v>0.4683</v>
      </c>
      <c r="H18" s="1" t="n">
        <v>0.5494</v>
      </c>
      <c r="I18" s="1" t="n">
        <v>0.4692</v>
      </c>
      <c r="J18" s="1" t="n">
        <v>0.0822</v>
      </c>
    </row>
    <row r="19" customFormat="false" ht="15" hidden="false" customHeight="false" outlineLevel="0" collapsed="false">
      <c r="A19" s="1" t="s">
        <v>29</v>
      </c>
      <c r="B19" s="1" t="s">
        <v>17</v>
      </c>
      <c r="C19" s="1" t="s">
        <v>13</v>
      </c>
      <c r="D19" s="1" t="s">
        <v>14</v>
      </c>
      <c r="E19" s="1" t="n">
        <v>0.6316</v>
      </c>
      <c r="F19" s="1" t="n">
        <v>0.4969</v>
      </c>
      <c r="G19" s="1" t="n">
        <v>0.4856</v>
      </c>
      <c r="H19" s="1" t="n">
        <v>0.5143</v>
      </c>
      <c r="I19" s="1" t="n">
        <v>0.4969</v>
      </c>
      <c r="J19" s="1" t="n">
        <v>0.156</v>
      </c>
    </row>
    <row r="20" customFormat="false" ht="15" hidden="false" customHeight="false" outlineLevel="0" collapsed="false">
      <c r="A20" s="1" t="s">
        <v>30</v>
      </c>
      <c r="B20" s="1" t="s">
        <v>26</v>
      </c>
      <c r="C20" s="1" t="s">
        <v>13</v>
      </c>
      <c r="D20" s="1" t="s">
        <v>14</v>
      </c>
      <c r="E20" s="1" t="n">
        <v>0.6228</v>
      </c>
      <c r="F20" s="1" t="n">
        <v>0.4367</v>
      </c>
      <c r="G20" s="1" t="n">
        <v>0.4403</v>
      </c>
      <c r="H20" s="1" t="n">
        <v>0.5248</v>
      </c>
      <c r="I20" s="1" t="n">
        <v>0.4367</v>
      </c>
      <c r="J20" s="1" t="n">
        <v>0.1264</v>
      </c>
    </row>
    <row r="21" customFormat="false" ht="15" hidden="false" customHeight="false" outlineLevel="0" collapsed="false">
      <c r="A21" s="1" t="s">
        <v>31</v>
      </c>
      <c r="B21" s="1" t="s">
        <v>1</v>
      </c>
      <c r="C21" s="1" t="s">
        <v>13</v>
      </c>
      <c r="D21" s="1" t="s">
        <v>14</v>
      </c>
      <c r="E21" s="1" t="n">
        <v>0.5807</v>
      </c>
      <c r="F21" s="1" t="n">
        <v>0.4837</v>
      </c>
      <c r="G21" s="1" t="n">
        <v>0.4463</v>
      </c>
      <c r="H21" s="1" t="n">
        <v>0.4625</v>
      </c>
      <c r="I21" s="1" t="n">
        <v>0.4837</v>
      </c>
      <c r="J21" s="1" t="n">
        <v>0.0319</v>
      </c>
    </row>
    <row r="22" customFormat="false" ht="15" hidden="false" customHeight="false" outlineLevel="0" collapsed="false">
      <c r="A22" s="1" t="s">
        <v>32</v>
      </c>
      <c r="B22" s="1" t="s">
        <v>1</v>
      </c>
      <c r="C22" s="1" t="s">
        <v>13</v>
      </c>
      <c r="D22" s="1" t="s">
        <v>14</v>
      </c>
      <c r="E22" s="1" t="n">
        <v>0.5789</v>
      </c>
      <c r="F22" s="1" t="n">
        <v>0.4416</v>
      </c>
      <c r="G22" s="1" t="n">
        <v>0.4201</v>
      </c>
      <c r="H22" s="1" t="n">
        <v>0.4396</v>
      </c>
      <c r="I22" s="1" t="n">
        <v>0.4416</v>
      </c>
      <c r="J22" s="1" t="n">
        <v>0.0381</v>
      </c>
    </row>
    <row r="23" customFormat="false" ht="15" hidden="false" customHeight="false" outlineLevel="0" collapsed="false">
      <c r="A23" s="1" t="s">
        <v>33</v>
      </c>
      <c r="B23" s="1" t="s">
        <v>1</v>
      </c>
      <c r="C23" s="1" t="s">
        <v>13</v>
      </c>
      <c r="D23" s="1" t="s">
        <v>14</v>
      </c>
      <c r="E23" s="1" t="n">
        <v>0.5754</v>
      </c>
      <c r="F23" s="1" t="n">
        <v>0.4147</v>
      </c>
      <c r="G23" s="1" t="n">
        <v>0.3637</v>
      </c>
      <c r="H23" s="1" t="n">
        <v>0.3611</v>
      </c>
      <c r="I23" s="1" t="n">
        <v>0.4147</v>
      </c>
      <c r="J23" s="1" t="n">
        <v>0.1502</v>
      </c>
    </row>
    <row r="24" customFormat="false" ht="15" hidden="false" customHeight="false" outlineLevel="0" collapsed="false">
      <c r="A24" s="1" t="s">
        <v>34</v>
      </c>
      <c r="B24" s="1" t="s">
        <v>17</v>
      </c>
      <c r="C24" s="1" t="s">
        <v>13</v>
      </c>
      <c r="D24" s="1" t="s">
        <v>14</v>
      </c>
      <c r="E24" s="1" t="n">
        <v>0.5719</v>
      </c>
      <c r="F24" s="1" t="n">
        <v>0.4269</v>
      </c>
      <c r="G24" s="1" t="n">
        <v>0.3948</v>
      </c>
      <c r="H24" s="1" t="n">
        <v>0.3993</v>
      </c>
      <c r="I24" s="1" t="n">
        <v>0.4269</v>
      </c>
      <c r="J24" s="1" t="n">
        <v>0.1849</v>
      </c>
    </row>
    <row r="25" customFormat="false" ht="15" hidden="false" customHeight="false" outlineLevel="0" collapsed="false">
      <c r="A25" s="1" t="s">
        <v>35</v>
      </c>
      <c r="B25" s="1" t="s">
        <v>26</v>
      </c>
      <c r="C25" s="1" t="s">
        <v>13</v>
      </c>
      <c r="D25" s="1" t="s">
        <v>14</v>
      </c>
      <c r="E25" s="1" t="n">
        <v>0.5211</v>
      </c>
      <c r="F25" s="1" t="n">
        <v>0.3713</v>
      </c>
      <c r="G25" s="1" t="n">
        <v>0.3533</v>
      </c>
      <c r="H25" s="1" t="n">
        <v>0.4176</v>
      </c>
      <c r="I25" s="1" t="n">
        <v>0.3713</v>
      </c>
      <c r="J25" s="1" t="n">
        <v>0.0942</v>
      </c>
    </row>
    <row r="26" customFormat="false" ht="15" hidden="false" customHeight="false" outlineLevel="0" collapsed="false">
      <c r="A26" s="1" t="s">
        <v>36</v>
      </c>
      <c r="B26" s="1" t="s">
        <v>26</v>
      </c>
      <c r="C26" s="1" t="s">
        <v>13</v>
      </c>
      <c r="D26" s="1" t="s">
        <v>14</v>
      </c>
      <c r="E26" s="1" t="n">
        <v>0.514</v>
      </c>
      <c r="F26" s="1" t="n">
        <v>0.3688</v>
      </c>
      <c r="G26" s="1" t="n">
        <v>0.353</v>
      </c>
      <c r="H26" s="1" t="n">
        <v>0.3924</v>
      </c>
      <c r="I26" s="1" t="n">
        <v>0.3688</v>
      </c>
      <c r="J26" s="1" t="n">
        <v>0.0843</v>
      </c>
    </row>
    <row r="27" customFormat="false" ht="15" hidden="false" customHeight="false" outlineLevel="0" collapsed="false">
      <c r="A27" s="1" t="s">
        <v>37</v>
      </c>
      <c r="B27" s="1" t="s">
        <v>23</v>
      </c>
      <c r="C27" s="1" t="s">
        <v>13</v>
      </c>
      <c r="D27" s="1" t="s">
        <v>14</v>
      </c>
      <c r="E27" s="1" t="n">
        <v>0.4596</v>
      </c>
      <c r="F27" s="1" t="n">
        <v>0.3361</v>
      </c>
      <c r="G27" s="1" t="n">
        <v>0.3219</v>
      </c>
      <c r="H27" s="1" t="n">
        <v>0.3407</v>
      </c>
      <c r="I27" s="1" t="n">
        <v>0.3361</v>
      </c>
      <c r="J27" s="1" t="n">
        <v>0.1332</v>
      </c>
    </row>
    <row r="28" customFormat="false" ht="15" hidden="false" customHeight="false" outlineLevel="0" collapsed="false">
      <c r="A28" s="1" t="s">
        <v>38</v>
      </c>
      <c r="B28" s="1" t="s">
        <v>26</v>
      </c>
      <c r="C28" s="1" t="s">
        <v>13</v>
      </c>
      <c r="D28" s="1" t="s">
        <v>14</v>
      </c>
      <c r="E28" s="1" t="n">
        <v>0.4298</v>
      </c>
      <c r="F28" s="1" t="n">
        <v>0.3234</v>
      </c>
      <c r="G28" s="1" t="n">
        <v>0.3343</v>
      </c>
      <c r="H28" s="1" t="n">
        <v>0.3876</v>
      </c>
      <c r="I28" s="1" t="n">
        <v>0.3234</v>
      </c>
      <c r="J28" s="1" t="n">
        <v>0.048</v>
      </c>
    </row>
    <row r="29" customFormat="false" ht="15" hidden="false" customHeight="false" outlineLevel="0" collapsed="false">
      <c r="A29" s="1" t="s">
        <v>39</v>
      </c>
      <c r="B29" s="1" t="s">
        <v>26</v>
      </c>
      <c r="C29" s="1" t="s">
        <v>13</v>
      </c>
      <c r="D29" s="1" t="s">
        <v>14</v>
      </c>
      <c r="E29" s="1" t="n">
        <v>0.3877</v>
      </c>
      <c r="F29" s="1" t="n">
        <v>0.3148</v>
      </c>
      <c r="G29" s="1" t="n">
        <v>0.3068</v>
      </c>
      <c r="H29" s="1" t="n">
        <v>0.3499</v>
      </c>
      <c r="I29" s="1" t="n">
        <v>0.3148</v>
      </c>
      <c r="J29" s="1" t="n">
        <v>0.0534</v>
      </c>
    </row>
    <row r="30" customFormat="false" ht="15" hidden="false" customHeight="false" outlineLevel="0" collapsed="false">
      <c r="A30" s="1" t="s">
        <v>40</v>
      </c>
      <c r="B30" s="1" t="s">
        <v>1</v>
      </c>
      <c r="C30" s="1" t="s">
        <v>13</v>
      </c>
      <c r="D30" s="1" t="s">
        <v>14</v>
      </c>
      <c r="E30" s="1" t="n">
        <v>0.3719</v>
      </c>
      <c r="F30" s="1" t="n">
        <v>0.3381</v>
      </c>
      <c r="G30" s="1" t="n">
        <v>0.278</v>
      </c>
      <c r="H30" s="1" t="n">
        <v>0.323</v>
      </c>
      <c r="I30" s="1" t="n">
        <v>0.3381</v>
      </c>
      <c r="J30" s="1" t="n">
        <v>0.0566</v>
      </c>
    </row>
    <row r="31" customFormat="false" ht="15" hidden="false" customHeight="false" outlineLevel="0" collapsed="false">
      <c r="A31" s="1" t="s">
        <v>41</v>
      </c>
      <c r="B31" s="1" t="s">
        <v>23</v>
      </c>
      <c r="C31" s="1" t="s">
        <v>13</v>
      </c>
      <c r="D31" s="1" t="s">
        <v>14</v>
      </c>
      <c r="E31" s="1" t="n">
        <v>0.3649</v>
      </c>
      <c r="F31" s="1" t="n">
        <v>0.2953</v>
      </c>
      <c r="G31" s="1" t="n">
        <v>0.2646</v>
      </c>
      <c r="H31" s="1" t="n">
        <v>0.3087</v>
      </c>
      <c r="I31" s="1" t="n">
        <v>0.2953</v>
      </c>
      <c r="J31" s="1" t="n">
        <v>0.1436</v>
      </c>
    </row>
    <row r="32" customFormat="false" ht="15" hidden="false" customHeight="false" outlineLevel="0" collapsed="false">
      <c r="A32" s="1" t="s">
        <v>42</v>
      </c>
      <c r="B32" s="1" t="s">
        <v>1</v>
      </c>
      <c r="C32" s="1" t="s">
        <v>13</v>
      </c>
      <c r="D32" s="1" t="s">
        <v>14</v>
      </c>
      <c r="E32" s="1" t="n">
        <v>0.3123</v>
      </c>
      <c r="F32" s="1" t="n">
        <v>0.3302</v>
      </c>
      <c r="G32" s="1" t="n">
        <v>0.2826</v>
      </c>
      <c r="H32" s="1" t="n">
        <v>0.3505</v>
      </c>
      <c r="I32" s="1" t="n">
        <v>0.3302</v>
      </c>
      <c r="J32" s="1" t="n">
        <v>0.0544</v>
      </c>
    </row>
    <row r="33" customFormat="false" ht="15" hidden="false" customHeight="false" outlineLevel="0" collapsed="false">
      <c r="A33" s="1" t="s">
        <v>43</v>
      </c>
      <c r="B33" s="1" t="s">
        <v>26</v>
      </c>
      <c r="C33" s="1" t="s">
        <v>13</v>
      </c>
      <c r="D33" s="1" t="s">
        <v>14</v>
      </c>
      <c r="E33" s="1" t="n">
        <v>0.286</v>
      </c>
      <c r="F33" s="1" t="n">
        <v>0.2709</v>
      </c>
      <c r="G33" s="1" t="n">
        <v>0.2233</v>
      </c>
      <c r="H33" s="1" t="n">
        <v>0.2769</v>
      </c>
      <c r="I33" s="1" t="n">
        <v>0.2709</v>
      </c>
      <c r="J33" s="1" t="n">
        <v>0.0454</v>
      </c>
    </row>
    <row r="34" customFormat="false" ht="15" hidden="false" customHeight="false" outlineLevel="0" collapsed="false">
      <c r="A34" s="1" t="s">
        <v>44</v>
      </c>
      <c r="B34" s="1" t="s">
        <v>23</v>
      </c>
      <c r="C34" s="1" t="s">
        <v>13</v>
      </c>
      <c r="D34" s="1" t="s">
        <v>14</v>
      </c>
      <c r="E34" s="1" t="n">
        <v>0.2667</v>
      </c>
      <c r="F34" s="1" t="n">
        <v>0.2167</v>
      </c>
      <c r="G34" s="1" t="n">
        <v>0.2085</v>
      </c>
      <c r="H34" s="1" t="n">
        <v>0.2578</v>
      </c>
      <c r="I34" s="1" t="n">
        <v>0.2167</v>
      </c>
      <c r="J34" s="1" t="n">
        <v>0.0456</v>
      </c>
    </row>
    <row r="35" customFormat="false" ht="15" hidden="false" customHeight="false" outlineLevel="0" collapsed="false">
      <c r="A35" s="1" t="s">
        <v>45</v>
      </c>
      <c r="B35" s="1" t="s">
        <v>1</v>
      </c>
      <c r="C35" s="1" t="s">
        <v>13</v>
      </c>
      <c r="D35" s="1" t="s">
        <v>14</v>
      </c>
      <c r="E35" s="1" t="n">
        <v>0.2263</v>
      </c>
      <c r="F35" s="1" t="n">
        <v>0.2577</v>
      </c>
      <c r="G35" s="1" t="n">
        <v>0.1524</v>
      </c>
      <c r="H35" s="1" t="n">
        <v>0.15</v>
      </c>
      <c r="I35" s="1" t="n">
        <v>0.2577</v>
      </c>
      <c r="J35" s="1" t="n">
        <v>0.0138</v>
      </c>
    </row>
    <row r="36" customFormat="false" ht="15" hidden="false" customHeight="false" outlineLevel="0" collapsed="false">
      <c r="A36" s="1" t="s">
        <v>46</v>
      </c>
      <c r="B36" s="1" t="s">
        <v>23</v>
      </c>
      <c r="C36" s="1" t="s">
        <v>13</v>
      </c>
      <c r="D36" s="1" t="s">
        <v>14</v>
      </c>
      <c r="E36" s="1" t="n">
        <v>0.214</v>
      </c>
      <c r="F36" s="1" t="n">
        <v>0.1687</v>
      </c>
      <c r="G36" s="1" t="n">
        <v>0.1565</v>
      </c>
      <c r="H36" s="1" t="n">
        <v>0.1981</v>
      </c>
      <c r="I36" s="1" t="n">
        <v>0.1687</v>
      </c>
      <c r="J36" s="1" t="n">
        <v>0.0333</v>
      </c>
    </row>
    <row r="37" customFormat="false" ht="15" hidden="false" customHeight="false" outlineLevel="0" collapsed="false">
      <c r="A37" s="1" t="s">
        <v>47</v>
      </c>
      <c r="B37" s="1" t="s">
        <v>23</v>
      </c>
      <c r="C37" s="1" t="s">
        <v>13</v>
      </c>
      <c r="D37" s="1" t="s">
        <v>14</v>
      </c>
      <c r="E37" s="1" t="n">
        <v>0.2105</v>
      </c>
      <c r="F37" s="1" t="n">
        <v>0.2829</v>
      </c>
      <c r="G37" s="1" t="n">
        <v>0.1528</v>
      </c>
      <c r="H37" s="1" t="n">
        <v>0.1322</v>
      </c>
      <c r="I37" s="1" t="n">
        <v>0.2829</v>
      </c>
      <c r="J37" s="1" t="n">
        <v>0.0342</v>
      </c>
    </row>
    <row r="38" customFormat="false" ht="15" hidden="false" customHeight="false" outlineLevel="0" collapsed="false">
      <c r="A38" s="1" t="s">
        <v>48</v>
      </c>
      <c r="B38" s="1" t="s">
        <v>26</v>
      </c>
      <c r="C38" s="1" t="s">
        <v>13</v>
      </c>
      <c r="D38" s="1" t="s">
        <v>14</v>
      </c>
      <c r="E38" s="1" t="n">
        <v>0.207</v>
      </c>
      <c r="F38" s="1" t="n">
        <v>0.2309</v>
      </c>
      <c r="G38" s="1" t="n">
        <v>0.1875</v>
      </c>
      <c r="H38" s="1" t="n">
        <v>0.2643</v>
      </c>
      <c r="I38" s="1" t="n">
        <v>0.2309</v>
      </c>
      <c r="J38" s="1" t="n">
        <v>0.0271</v>
      </c>
    </row>
    <row r="39" customFormat="false" ht="15" hidden="false" customHeight="false" outlineLevel="0" collapsed="false">
      <c r="A39" s="1" t="s">
        <v>49</v>
      </c>
      <c r="B39" s="1" t="s">
        <v>17</v>
      </c>
      <c r="C39" s="1" t="s">
        <v>13</v>
      </c>
      <c r="D39" s="1" t="s">
        <v>14</v>
      </c>
      <c r="E39" s="1" t="n">
        <v>0.1895</v>
      </c>
      <c r="F39" s="1" t="n">
        <v>0.2016</v>
      </c>
      <c r="G39" s="1" t="n">
        <v>0.1014</v>
      </c>
      <c r="H39" s="1" t="n">
        <v>0.072</v>
      </c>
      <c r="I39" s="1" t="n">
        <v>0.2016</v>
      </c>
      <c r="J39" s="1" t="n">
        <v>0.033</v>
      </c>
    </row>
    <row r="40" customFormat="false" ht="15" hidden="false" customHeight="false" outlineLevel="0" collapsed="false">
      <c r="A40" s="1" t="s">
        <v>50</v>
      </c>
      <c r="B40" s="1" t="s">
        <v>23</v>
      </c>
      <c r="C40" s="1" t="s">
        <v>13</v>
      </c>
      <c r="D40" s="1" t="s">
        <v>14</v>
      </c>
      <c r="E40" s="1" t="n">
        <v>0.1649</v>
      </c>
      <c r="F40" s="1" t="n">
        <v>0.1752</v>
      </c>
      <c r="G40" s="1" t="n">
        <v>0.1388</v>
      </c>
      <c r="H40" s="1" t="n">
        <v>0.2009</v>
      </c>
      <c r="I40" s="1" t="n">
        <v>0.1752</v>
      </c>
      <c r="J40" s="1" t="n">
        <v>0.016</v>
      </c>
    </row>
    <row r="41" customFormat="false" ht="15" hidden="false" customHeight="false" outlineLevel="0" collapsed="false">
      <c r="A41" s="1" t="s">
        <v>51</v>
      </c>
      <c r="B41" s="1" t="s">
        <v>26</v>
      </c>
      <c r="C41" s="1" t="s">
        <v>13</v>
      </c>
      <c r="D41" s="1" t="s">
        <v>14</v>
      </c>
      <c r="E41" s="1" t="n">
        <v>0.1491</v>
      </c>
      <c r="F41" s="1" t="n">
        <v>0.1876</v>
      </c>
      <c r="G41" s="1" t="n">
        <v>0.0871</v>
      </c>
      <c r="H41" s="1" t="n">
        <v>0.0839</v>
      </c>
      <c r="I41" s="1" t="n">
        <v>0.1876</v>
      </c>
      <c r="J41" s="1" t="n">
        <v>0.0301</v>
      </c>
    </row>
    <row r="42" customFormat="false" ht="15" hidden="false" customHeight="false" outlineLevel="0" collapsed="false">
      <c r="A42" s="1" t="s">
        <v>52</v>
      </c>
      <c r="B42" s="1" t="s">
        <v>23</v>
      </c>
      <c r="C42" s="1" t="s">
        <v>13</v>
      </c>
      <c r="D42" s="1" t="s">
        <v>14</v>
      </c>
      <c r="E42" s="1" t="n">
        <v>0.1491</v>
      </c>
      <c r="F42" s="1" t="n">
        <v>0.1499</v>
      </c>
      <c r="G42" s="1" t="n">
        <v>0.1216</v>
      </c>
      <c r="H42" s="1" t="n">
        <v>0.1588</v>
      </c>
      <c r="I42" s="1" t="n">
        <v>0.1499</v>
      </c>
      <c r="J42" s="1" t="n">
        <v>0.0259</v>
      </c>
    </row>
    <row r="43" customFormat="false" ht="15" hidden="false" customHeight="false" outlineLevel="0" collapsed="false">
      <c r="A43" s="1" t="s">
        <v>53</v>
      </c>
      <c r="B43" s="1" t="s">
        <v>17</v>
      </c>
      <c r="C43" s="1" t="s">
        <v>13</v>
      </c>
      <c r="D43" s="1" t="s">
        <v>14</v>
      </c>
      <c r="E43" s="1" t="n">
        <v>0.0263</v>
      </c>
      <c r="F43" s="1" t="n">
        <v>0.1429</v>
      </c>
      <c r="G43" s="1" t="n">
        <v>0.0073</v>
      </c>
      <c r="H43" s="1" t="n">
        <v>0.0038</v>
      </c>
      <c r="I43" s="1" t="n">
        <v>0.1429</v>
      </c>
      <c r="J43" s="1" t="n">
        <v>0.0014</v>
      </c>
    </row>
    <row r="44" customFormat="false" ht="15" hidden="false" customHeight="false" outlineLevel="0" collapsed="false">
      <c r="A44" s="1" t="s">
        <v>54</v>
      </c>
      <c r="B44" s="1" t="s">
        <v>17</v>
      </c>
      <c r="C44" s="1" t="s">
        <v>13</v>
      </c>
      <c r="D44" s="1" t="s">
        <v>14</v>
      </c>
      <c r="E44" s="1" t="n">
        <v>0.0263</v>
      </c>
      <c r="F44" s="1" t="n">
        <v>0.1429</v>
      </c>
      <c r="G44" s="1" t="n">
        <v>0.0073</v>
      </c>
      <c r="H44" s="1" t="n">
        <v>0.0038</v>
      </c>
      <c r="I44" s="1" t="n">
        <v>0.1429</v>
      </c>
      <c r="J44" s="1" t="n">
        <v>0.0014</v>
      </c>
    </row>
    <row r="45" customFormat="false" ht="15" hidden="false" customHeight="false" outlineLevel="0" collapsed="false">
      <c r="A45" s="1" t="s">
        <v>55</v>
      </c>
      <c r="B45" s="1" t="s">
        <v>17</v>
      </c>
      <c r="C45" s="1" t="s">
        <v>13</v>
      </c>
      <c r="D45" s="1" t="s">
        <v>14</v>
      </c>
      <c r="E45" s="1" t="n">
        <v>0.0263</v>
      </c>
      <c r="F45" s="1" t="n">
        <v>0.1429</v>
      </c>
      <c r="G45" s="1" t="n">
        <v>0.0073</v>
      </c>
      <c r="H45" s="1" t="n">
        <v>0.0038</v>
      </c>
      <c r="I45" s="1" t="n">
        <v>0.1429</v>
      </c>
      <c r="J45" s="1" t="n">
        <v>0.0014</v>
      </c>
    </row>
    <row r="46" customFormat="false" ht="15" hidden="false" customHeight="false" outlineLevel="0" collapsed="false">
      <c r="A46" s="1" t="s">
        <v>56</v>
      </c>
      <c r="B46" s="1" t="s">
        <v>17</v>
      </c>
      <c r="C46" s="1" t="s">
        <v>13</v>
      </c>
      <c r="D46" s="1" t="s">
        <v>14</v>
      </c>
      <c r="E46" s="1" t="n">
        <v>0.0263</v>
      </c>
      <c r="F46" s="1" t="n">
        <v>0.1429</v>
      </c>
      <c r="G46" s="1" t="n">
        <v>0.0073</v>
      </c>
      <c r="H46" s="1" t="n">
        <v>0.0038</v>
      </c>
      <c r="I46" s="1" t="n">
        <v>0.1429</v>
      </c>
      <c r="J46" s="1" t="n">
        <v>0.0014</v>
      </c>
    </row>
    <row r="47" customFormat="false" ht="15" hidden="false" customHeight="false" outlineLevel="0" collapsed="false">
      <c r="A47" s="1" t="s">
        <v>57</v>
      </c>
      <c r="B47" s="1" t="s">
        <v>26</v>
      </c>
      <c r="C47" s="1" t="s">
        <v>13</v>
      </c>
      <c r="D47" s="1" t="s">
        <v>14</v>
      </c>
    </row>
    <row r="48" customFormat="false" ht="15" hidden="false" customHeight="false" outlineLevel="0" collapsed="false">
      <c r="A48" s="1" t="s">
        <v>58</v>
      </c>
      <c r="B48" s="1" t="s">
        <v>26</v>
      </c>
      <c r="C48" s="1" t="s">
        <v>13</v>
      </c>
      <c r="D48" s="1" t="s">
        <v>14</v>
      </c>
    </row>
    <row r="49" customFormat="false" ht="15" hidden="false" customHeight="false" outlineLevel="0" collapsed="false">
      <c r="A49" s="1" t="s">
        <v>59</v>
      </c>
      <c r="B49" s="1" t="s">
        <v>26</v>
      </c>
      <c r="C49" s="1" t="s">
        <v>13</v>
      </c>
      <c r="D49" s="1" t="s">
        <v>14</v>
      </c>
    </row>
    <row r="50" customFormat="false" ht="15" hidden="false" customHeight="false" outlineLevel="0" collapsed="false">
      <c r="A50" s="1" t="s">
        <v>60</v>
      </c>
      <c r="B50" s="1" t="s">
        <v>26</v>
      </c>
      <c r="C50" s="1" t="s">
        <v>13</v>
      </c>
      <c r="D50" s="1" t="s">
        <v>14</v>
      </c>
    </row>
    <row r="51" customFormat="false" ht="15" hidden="false" customHeight="false" outlineLevel="0" collapsed="false">
      <c r="A51" s="1" t="s">
        <v>61</v>
      </c>
      <c r="B51" s="1" t="s">
        <v>23</v>
      </c>
      <c r="C51" s="1" t="s">
        <v>13</v>
      </c>
      <c r="D51" s="1" t="s">
        <v>14</v>
      </c>
    </row>
    <row r="52" customFormat="false" ht="15" hidden="false" customHeight="false" outlineLevel="0" collapsed="false">
      <c r="A52" s="1" t="s">
        <v>62</v>
      </c>
      <c r="B52" s="1" t="s">
        <v>23</v>
      </c>
      <c r="C52" s="1" t="s">
        <v>13</v>
      </c>
      <c r="D52" s="1" t="s">
        <v>14</v>
      </c>
    </row>
    <row r="53" customFormat="false" ht="15" hidden="false" customHeight="false" outlineLevel="0" collapsed="false">
      <c r="A53" s="1" t="s">
        <v>63</v>
      </c>
      <c r="B53" s="1" t="s">
        <v>23</v>
      </c>
      <c r="C53" s="1" t="s">
        <v>13</v>
      </c>
      <c r="D53" s="1" t="s">
        <v>14</v>
      </c>
    </row>
    <row r="54" customFormat="false" ht="15" hidden="false" customHeight="false" outlineLevel="0" collapsed="false">
      <c r="A54" s="1" t="s">
        <v>64</v>
      </c>
      <c r="B54" s="1" t="s">
        <v>23</v>
      </c>
      <c r="C54" s="1" t="s">
        <v>13</v>
      </c>
      <c r="D54" s="1" t="s">
        <v>14</v>
      </c>
    </row>
    <row r="55" customFormat="false" ht="15" hidden="false" customHeight="false" outlineLevel="0" collapsed="false">
      <c r="A55" s="1" t="s">
        <v>65</v>
      </c>
      <c r="B55" s="1" t="s">
        <v>17</v>
      </c>
      <c r="C55" s="1" t="s">
        <v>13</v>
      </c>
      <c r="D55" s="1" t="s">
        <v>14</v>
      </c>
    </row>
    <row r="56" customFormat="false" ht="15" hidden="false" customHeight="false" outlineLevel="0" collapsed="false">
      <c r="A56" s="1" t="s">
        <v>66</v>
      </c>
      <c r="B56" s="1" t="s">
        <v>17</v>
      </c>
      <c r="C56" s="1" t="s">
        <v>13</v>
      </c>
      <c r="D56" s="1" t="s">
        <v>14</v>
      </c>
    </row>
    <row r="57" customFormat="false" ht="15" hidden="false" customHeight="false" outlineLevel="0" collapsed="false">
      <c r="A57" s="1" t="s">
        <v>67</v>
      </c>
      <c r="B57" s="1" t="s">
        <v>17</v>
      </c>
      <c r="C57" s="1" t="s">
        <v>13</v>
      </c>
      <c r="D57" s="1" t="s">
        <v>14</v>
      </c>
    </row>
    <row r="58" customFormat="false" ht="15" hidden="false" customHeight="false" outlineLevel="0" collapsed="false">
      <c r="A58" s="1" t="s">
        <v>68</v>
      </c>
      <c r="B58" s="1" t="s">
        <v>17</v>
      </c>
      <c r="C58" s="1" t="s">
        <v>13</v>
      </c>
      <c r="D58" s="1" t="s">
        <v>14</v>
      </c>
    </row>
    <row r="59" customFormat="false" ht="15" hidden="false" customHeight="false" outlineLevel="0" collapsed="false">
      <c r="A59" s="1" t="s">
        <v>69</v>
      </c>
      <c r="B59" s="1" t="s">
        <v>1</v>
      </c>
      <c r="C59" s="1" t="s">
        <v>13</v>
      </c>
      <c r="D59" s="1" t="s">
        <v>14</v>
      </c>
    </row>
    <row r="60" customFormat="false" ht="15" hidden="false" customHeight="false" outlineLevel="0" collapsed="false">
      <c r="A60" s="1" t="s">
        <v>70</v>
      </c>
      <c r="B60" s="1" t="s">
        <v>1</v>
      </c>
      <c r="C60" s="1" t="s">
        <v>13</v>
      </c>
      <c r="D60" s="1" t="s">
        <v>14</v>
      </c>
    </row>
    <row r="61" customFormat="false" ht="15" hidden="false" customHeight="false" outlineLevel="0" collapsed="false">
      <c r="A61" s="1" t="s">
        <v>71</v>
      </c>
      <c r="B61" s="1" t="s">
        <v>1</v>
      </c>
      <c r="C61" s="1" t="s">
        <v>13</v>
      </c>
      <c r="D61" s="1" t="s">
        <v>14</v>
      </c>
    </row>
    <row r="62" customFormat="false" ht="15" hidden="false" customHeight="false" outlineLevel="0" collapsed="false">
      <c r="A62" s="1" t="s">
        <v>72</v>
      </c>
      <c r="B62" s="1" t="s">
        <v>1</v>
      </c>
      <c r="C62" s="1" t="s">
        <v>13</v>
      </c>
      <c r="D62" s="1" t="s">
        <v>14</v>
      </c>
    </row>
    <row r="63" customFormat="false" ht="15" hidden="false" customHeight="false" outlineLevel="0" collapsed="false">
      <c r="A63" s="1" t="s">
        <v>73</v>
      </c>
      <c r="B63" s="1" t="s">
        <v>1</v>
      </c>
      <c r="C63" s="1" t="s">
        <v>13</v>
      </c>
      <c r="D63" s="1" t="s">
        <v>14</v>
      </c>
    </row>
    <row r="64" customFormat="false" ht="15" hidden="false" customHeight="false" outlineLevel="0" collapsed="false">
      <c r="A64" s="1" t="s">
        <v>15</v>
      </c>
      <c r="B64" s="1" t="s">
        <v>1</v>
      </c>
      <c r="C64" s="1" t="s">
        <v>13</v>
      </c>
      <c r="D64" s="1" t="s">
        <v>74</v>
      </c>
      <c r="E64" s="1" t="n">
        <v>0.8737</v>
      </c>
      <c r="F64" s="1" t="n">
        <v>0.6567</v>
      </c>
      <c r="G64" s="1" t="n">
        <v>0.6504</v>
      </c>
      <c r="H64" s="1" t="n">
        <v>0.656</v>
      </c>
      <c r="I64" s="1" t="n">
        <v>0.6567</v>
      </c>
      <c r="J64" s="1" t="n">
        <v>0.0489</v>
      </c>
    </row>
    <row r="65" customFormat="false" ht="15" hidden="false" customHeight="false" outlineLevel="0" collapsed="false">
      <c r="A65" s="1" t="s">
        <v>12</v>
      </c>
      <c r="B65" s="1" t="s">
        <v>1</v>
      </c>
      <c r="C65" s="1" t="s">
        <v>13</v>
      </c>
      <c r="D65" s="1" t="s">
        <v>74</v>
      </c>
      <c r="E65" s="1" t="n">
        <v>0.8737</v>
      </c>
      <c r="F65" s="1" t="n">
        <v>0.6505</v>
      </c>
      <c r="G65" s="1" t="n">
        <v>0.6349</v>
      </c>
      <c r="H65" s="1" t="n">
        <v>0.6288</v>
      </c>
      <c r="I65" s="1" t="n">
        <v>0.6505</v>
      </c>
      <c r="J65" s="1" t="n">
        <v>0.0256</v>
      </c>
    </row>
    <row r="66" customFormat="false" ht="15" hidden="false" customHeight="false" outlineLevel="0" collapsed="false">
      <c r="A66" s="1" t="s">
        <v>16</v>
      </c>
      <c r="B66" s="1" t="s">
        <v>1</v>
      </c>
      <c r="C66" s="1" t="s">
        <v>13</v>
      </c>
      <c r="D66" s="1" t="s">
        <v>74</v>
      </c>
      <c r="E66" s="1" t="n">
        <v>0.8737</v>
      </c>
      <c r="F66" s="1" t="n">
        <v>0.6488</v>
      </c>
      <c r="G66" s="1" t="n">
        <v>0.6343</v>
      </c>
      <c r="H66" s="1" t="n">
        <v>0.6297</v>
      </c>
      <c r="I66" s="1" t="n">
        <v>0.6488</v>
      </c>
      <c r="J66" s="1" t="n">
        <v>0.0124</v>
      </c>
    </row>
    <row r="67" customFormat="false" ht="15" hidden="false" customHeight="false" outlineLevel="0" collapsed="false">
      <c r="A67" s="1" t="s">
        <v>1</v>
      </c>
      <c r="B67" s="1" t="s">
        <v>1</v>
      </c>
      <c r="C67" s="1" t="s">
        <v>18</v>
      </c>
      <c r="D67" s="1" t="s">
        <v>74</v>
      </c>
      <c r="E67" s="1" t="n">
        <v>0.8632</v>
      </c>
      <c r="F67" s="1" t="n">
        <v>0.6221</v>
      </c>
      <c r="G67" s="1" t="n">
        <v>0.6204</v>
      </c>
      <c r="H67" s="1" t="n">
        <v>0.6398</v>
      </c>
      <c r="I67" s="1" t="n">
        <v>0.6221</v>
      </c>
      <c r="J67" s="1" t="n">
        <v>0.0354</v>
      </c>
    </row>
    <row r="68" customFormat="false" ht="15" hidden="false" customHeight="false" outlineLevel="0" collapsed="false">
      <c r="A68" s="1" t="s">
        <v>17</v>
      </c>
      <c r="B68" s="1" t="s">
        <v>17</v>
      </c>
      <c r="C68" s="1" t="s">
        <v>18</v>
      </c>
      <c r="D68" s="1" t="s">
        <v>74</v>
      </c>
      <c r="E68" s="1" t="n">
        <v>0.8333</v>
      </c>
      <c r="F68" s="1" t="n">
        <v>0.6282</v>
      </c>
      <c r="G68" s="1" t="n">
        <v>0.6265</v>
      </c>
      <c r="H68" s="1" t="n">
        <v>0.6384</v>
      </c>
      <c r="I68" s="1" t="n">
        <v>0.6282</v>
      </c>
      <c r="J68" s="1" t="n">
        <v>0.0343</v>
      </c>
    </row>
    <row r="69" customFormat="false" ht="15" hidden="false" customHeight="false" outlineLevel="0" collapsed="false">
      <c r="A69" s="1" t="s">
        <v>20</v>
      </c>
      <c r="B69" s="1" t="s">
        <v>17</v>
      </c>
      <c r="C69" s="1" t="s">
        <v>13</v>
      </c>
      <c r="D69" s="1" t="s">
        <v>74</v>
      </c>
      <c r="E69" s="1" t="n">
        <v>0.8175</v>
      </c>
      <c r="F69" s="1" t="n">
        <v>0.6909</v>
      </c>
      <c r="G69" s="1" t="n">
        <v>0.6887</v>
      </c>
      <c r="H69" s="1" t="n">
        <v>0.7047</v>
      </c>
      <c r="I69" s="1" t="n">
        <v>0.6909</v>
      </c>
      <c r="J69" s="1" t="n">
        <v>0.1034</v>
      </c>
    </row>
    <row r="70" customFormat="false" ht="15" hidden="false" customHeight="false" outlineLevel="0" collapsed="false">
      <c r="A70" s="1" t="s">
        <v>21</v>
      </c>
      <c r="B70" s="1" t="s">
        <v>17</v>
      </c>
      <c r="C70" s="1" t="s">
        <v>13</v>
      </c>
      <c r="D70" s="1" t="s">
        <v>74</v>
      </c>
      <c r="E70" s="1" t="n">
        <v>0.7982</v>
      </c>
      <c r="F70" s="1" t="n">
        <v>0.6001</v>
      </c>
      <c r="G70" s="1" t="n">
        <v>0.5896</v>
      </c>
      <c r="H70" s="1" t="n">
        <v>0.5905</v>
      </c>
      <c r="I70" s="1" t="n">
        <v>0.6001</v>
      </c>
      <c r="J70" s="1" t="n">
        <v>0.0407</v>
      </c>
    </row>
    <row r="71" customFormat="false" ht="15" hidden="false" customHeight="false" outlineLevel="0" collapsed="false">
      <c r="A71" s="1" t="s">
        <v>19</v>
      </c>
      <c r="B71" s="1" t="s">
        <v>17</v>
      </c>
      <c r="C71" s="1" t="s">
        <v>13</v>
      </c>
      <c r="D71" s="1" t="s">
        <v>74</v>
      </c>
      <c r="E71" s="1" t="n">
        <v>0.786</v>
      </c>
      <c r="F71" s="1" t="n">
        <v>0.6474</v>
      </c>
      <c r="G71" s="1" t="n">
        <v>0.6351</v>
      </c>
      <c r="H71" s="1" t="n">
        <v>0.6354</v>
      </c>
      <c r="I71" s="1" t="n">
        <v>0.6474</v>
      </c>
      <c r="J71" s="1" t="n">
        <v>0.0629</v>
      </c>
    </row>
    <row r="72" customFormat="false" ht="15" hidden="false" customHeight="false" outlineLevel="0" collapsed="false">
      <c r="A72" s="1" t="s">
        <v>24</v>
      </c>
      <c r="B72" s="1" t="s">
        <v>23</v>
      </c>
      <c r="C72" s="1" t="s">
        <v>13</v>
      </c>
      <c r="D72" s="1" t="s">
        <v>74</v>
      </c>
      <c r="E72" s="1" t="n">
        <v>0.7632</v>
      </c>
      <c r="F72" s="1" t="n">
        <v>0.6225</v>
      </c>
      <c r="G72" s="1" t="n">
        <v>0.614</v>
      </c>
      <c r="H72" s="1" t="n">
        <v>0.6297</v>
      </c>
      <c r="I72" s="1" t="n">
        <v>0.6225</v>
      </c>
      <c r="J72" s="1" t="n">
        <v>0.0771</v>
      </c>
    </row>
    <row r="73" customFormat="false" ht="15" hidden="false" customHeight="false" outlineLevel="0" collapsed="false">
      <c r="A73" s="1" t="s">
        <v>23</v>
      </c>
      <c r="B73" s="1" t="s">
        <v>23</v>
      </c>
      <c r="C73" s="1" t="s">
        <v>18</v>
      </c>
      <c r="D73" s="1" t="s">
        <v>74</v>
      </c>
      <c r="E73" s="1" t="n">
        <v>0.7333</v>
      </c>
      <c r="F73" s="1" t="n">
        <v>0.6102</v>
      </c>
      <c r="G73" s="1" t="n">
        <v>0.5974</v>
      </c>
      <c r="H73" s="1" t="n">
        <v>0.6175</v>
      </c>
      <c r="I73" s="1" t="n">
        <v>0.6102</v>
      </c>
      <c r="J73" s="1" t="n">
        <v>0.0899</v>
      </c>
    </row>
    <row r="74" customFormat="false" ht="15" hidden="false" customHeight="false" outlineLevel="0" collapsed="false">
      <c r="A74" s="1" t="s">
        <v>26</v>
      </c>
      <c r="B74" s="1" t="s">
        <v>26</v>
      </c>
      <c r="C74" s="1" t="s">
        <v>18</v>
      </c>
      <c r="D74" s="1" t="s">
        <v>74</v>
      </c>
      <c r="E74" s="1" t="n">
        <v>0.7035</v>
      </c>
      <c r="F74" s="1" t="n">
        <v>0.4746</v>
      </c>
      <c r="G74" s="1" t="n">
        <v>0.4622</v>
      </c>
      <c r="H74" s="1" t="n">
        <v>0.4992</v>
      </c>
      <c r="I74" s="1" t="n">
        <v>0.4746</v>
      </c>
      <c r="J74" s="1" t="n">
        <v>0.0525</v>
      </c>
    </row>
    <row r="75" customFormat="false" ht="15" hidden="false" customHeight="false" outlineLevel="0" collapsed="false">
      <c r="A75" s="1" t="s">
        <v>27</v>
      </c>
      <c r="B75" s="1" t="s">
        <v>23</v>
      </c>
      <c r="C75" s="1" t="s">
        <v>13</v>
      </c>
      <c r="D75" s="1" t="s">
        <v>74</v>
      </c>
      <c r="E75" s="1" t="n">
        <v>0.7035</v>
      </c>
      <c r="F75" s="1" t="n">
        <v>0.6061</v>
      </c>
      <c r="G75" s="1" t="n">
        <v>0.5951</v>
      </c>
      <c r="H75" s="1" t="n">
        <v>0.5995</v>
      </c>
      <c r="I75" s="1" t="n">
        <v>0.6061</v>
      </c>
      <c r="J75" s="1" t="n">
        <v>0.1029</v>
      </c>
    </row>
    <row r="76" customFormat="false" ht="15" hidden="false" customHeight="false" outlineLevel="0" collapsed="false">
      <c r="A76" s="1" t="s">
        <v>31</v>
      </c>
      <c r="B76" s="1" t="s">
        <v>1</v>
      </c>
      <c r="C76" s="1" t="s">
        <v>13</v>
      </c>
      <c r="D76" s="1" t="s">
        <v>74</v>
      </c>
      <c r="E76" s="1" t="n">
        <v>0.6877</v>
      </c>
      <c r="F76" s="1" t="n">
        <v>0.5448</v>
      </c>
      <c r="G76" s="1" t="n">
        <v>0.5167</v>
      </c>
      <c r="H76" s="1" t="n">
        <v>0.5233</v>
      </c>
      <c r="I76" s="1" t="n">
        <v>0.5448</v>
      </c>
      <c r="J76" s="1" t="n">
        <v>0.0528</v>
      </c>
    </row>
    <row r="77" customFormat="false" ht="15" hidden="false" customHeight="false" outlineLevel="0" collapsed="false">
      <c r="A77" s="1" t="s">
        <v>30</v>
      </c>
      <c r="B77" s="1" t="s">
        <v>26</v>
      </c>
      <c r="C77" s="1" t="s">
        <v>13</v>
      </c>
      <c r="D77" s="1" t="s">
        <v>74</v>
      </c>
      <c r="E77" s="1" t="n">
        <v>0.6789</v>
      </c>
      <c r="F77" s="1" t="n">
        <v>0.4982</v>
      </c>
      <c r="G77" s="1" t="n">
        <v>0.4939</v>
      </c>
      <c r="H77" s="1" t="n">
        <v>0.5426</v>
      </c>
      <c r="I77" s="1" t="n">
        <v>0.4982</v>
      </c>
      <c r="J77" s="1" t="n">
        <v>0.0863</v>
      </c>
    </row>
    <row r="78" customFormat="false" ht="15" hidden="false" customHeight="false" outlineLevel="0" collapsed="false">
      <c r="A78" s="1" t="s">
        <v>22</v>
      </c>
      <c r="B78" s="1" t="s">
        <v>23</v>
      </c>
      <c r="C78" s="1" t="s">
        <v>13</v>
      </c>
      <c r="D78" s="1" t="s">
        <v>74</v>
      </c>
      <c r="E78" s="1" t="n">
        <v>0.6737</v>
      </c>
      <c r="F78" s="1" t="n">
        <v>0.5432</v>
      </c>
      <c r="G78" s="1" t="n">
        <v>0.5402</v>
      </c>
      <c r="H78" s="1" t="n">
        <v>0.5664</v>
      </c>
      <c r="I78" s="1" t="n">
        <v>0.5432</v>
      </c>
      <c r="J78" s="1" t="n">
        <v>0.0762</v>
      </c>
    </row>
    <row r="79" customFormat="false" ht="15" hidden="false" customHeight="false" outlineLevel="0" collapsed="false">
      <c r="A79" s="1" t="s">
        <v>32</v>
      </c>
      <c r="B79" s="1" t="s">
        <v>1</v>
      </c>
      <c r="C79" s="1" t="s">
        <v>13</v>
      </c>
      <c r="D79" s="1" t="s">
        <v>74</v>
      </c>
      <c r="E79" s="1" t="n">
        <v>0.6649</v>
      </c>
      <c r="F79" s="1" t="n">
        <v>0.5174</v>
      </c>
      <c r="G79" s="1" t="n">
        <v>0.4877</v>
      </c>
      <c r="H79" s="1" t="n">
        <v>0.4778</v>
      </c>
      <c r="I79" s="1" t="n">
        <v>0.5174</v>
      </c>
      <c r="J79" s="1" t="n">
        <v>0.0401</v>
      </c>
    </row>
    <row r="80" customFormat="false" ht="15" hidden="false" customHeight="false" outlineLevel="0" collapsed="false">
      <c r="A80" s="1" t="s">
        <v>28</v>
      </c>
      <c r="B80" s="1" t="s">
        <v>26</v>
      </c>
      <c r="C80" s="1" t="s">
        <v>13</v>
      </c>
      <c r="D80" s="1" t="s">
        <v>74</v>
      </c>
      <c r="E80" s="1" t="n">
        <v>0.6263</v>
      </c>
      <c r="F80" s="1" t="n">
        <v>0.4721</v>
      </c>
      <c r="G80" s="1" t="n">
        <v>0.43</v>
      </c>
      <c r="H80" s="1" t="n">
        <v>0.4397</v>
      </c>
      <c r="I80" s="1" t="n">
        <v>0.4721</v>
      </c>
      <c r="J80" s="1" t="n">
        <v>0.0912</v>
      </c>
    </row>
    <row r="81" customFormat="false" ht="15" hidden="false" customHeight="false" outlineLevel="0" collapsed="false">
      <c r="A81" s="1" t="s">
        <v>34</v>
      </c>
      <c r="B81" s="1" t="s">
        <v>17</v>
      </c>
      <c r="C81" s="1" t="s">
        <v>13</v>
      </c>
      <c r="D81" s="1" t="s">
        <v>74</v>
      </c>
      <c r="E81" s="1" t="n">
        <v>0.5982</v>
      </c>
      <c r="F81" s="1" t="n">
        <v>0.4422</v>
      </c>
      <c r="G81" s="1" t="n">
        <v>0.4089</v>
      </c>
      <c r="H81" s="1" t="n">
        <v>0.4493</v>
      </c>
      <c r="I81" s="1" t="n">
        <v>0.4422</v>
      </c>
      <c r="J81" s="1" t="n">
        <v>0.1919</v>
      </c>
    </row>
    <row r="82" customFormat="false" ht="15" hidden="false" customHeight="false" outlineLevel="0" collapsed="false">
      <c r="A82" s="1" t="s">
        <v>29</v>
      </c>
      <c r="B82" s="1" t="s">
        <v>17</v>
      </c>
      <c r="C82" s="1" t="s">
        <v>13</v>
      </c>
      <c r="D82" s="1" t="s">
        <v>74</v>
      </c>
      <c r="E82" s="1" t="n">
        <v>0.5895</v>
      </c>
      <c r="F82" s="1" t="n">
        <v>0.4643</v>
      </c>
      <c r="G82" s="1" t="n">
        <v>0.4477</v>
      </c>
      <c r="H82" s="1" t="n">
        <v>0.4975</v>
      </c>
      <c r="I82" s="1" t="n">
        <v>0.4643</v>
      </c>
      <c r="J82" s="1" t="n">
        <v>0.1482</v>
      </c>
    </row>
    <row r="83" customFormat="false" ht="15" hidden="false" customHeight="false" outlineLevel="0" collapsed="false">
      <c r="A83" s="1" t="s">
        <v>33</v>
      </c>
      <c r="B83" s="1" t="s">
        <v>1</v>
      </c>
      <c r="C83" s="1" t="s">
        <v>13</v>
      </c>
      <c r="D83" s="1" t="s">
        <v>74</v>
      </c>
      <c r="E83" s="1" t="n">
        <v>0.5807</v>
      </c>
      <c r="F83" s="1" t="n">
        <v>0.4286</v>
      </c>
      <c r="G83" s="1" t="n">
        <v>0.3714</v>
      </c>
      <c r="H83" s="1" t="n">
        <v>0.3503</v>
      </c>
      <c r="I83" s="1" t="n">
        <v>0.4286</v>
      </c>
      <c r="J83" s="1" t="n">
        <v>0.1561</v>
      </c>
    </row>
    <row r="84" customFormat="false" ht="15" hidden="false" customHeight="false" outlineLevel="0" collapsed="false">
      <c r="A84" s="1" t="s">
        <v>25</v>
      </c>
      <c r="B84" s="1" t="s">
        <v>26</v>
      </c>
      <c r="C84" s="1" t="s">
        <v>13</v>
      </c>
      <c r="D84" s="1" t="s">
        <v>74</v>
      </c>
      <c r="E84" s="1" t="n">
        <v>0.5754</v>
      </c>
      <c r="F84" s="1" t="n">
        <v>0.4749</v>
      </c>
      <c r="G84" s="1" t="n">
        <v>0.4569</v>
      </c>
      <c r="H84" s="1" t="n">
        <v>0.5663</v>
      </c>
      <c r="I84" s="1" t="n">
        <v>0.4749</v>
      </c>
      <c r="J84" s="1" t="n">
        <v>0.1126</v>
      </c>
    </row>
    <row r="85" customFormat="false" ht="15" hidden="false" customHeight="false" outlineLevel="0" collapsed="false">
      <c r="A85" s="1" t="s">
        <v>36</v>
      </c>
      <c r="B85" s="1" t="s">
        <v>26</v>
      </c>
      <c r="C85" s="1" t="s">
        <v>13</v>
      </c>
      <c r="D85" s="1" t="s">
        <v>74</v>
      </c>
      <c r="E85" s="1" t="n">
        <v>0.5368</v>
      </c>
      <c r="F85" s="1" t="n">
        <v>0.3846</v>
      </c>
      <c r="G85" s="1" t="n">
        <v>0.3542</v>
      </c>
      <c r="H85" s="1" t="n">
        <v>0.3953</v>
      </c>
      <c r="I85" s="1" t="n">
        <v>0.3846</v>
      </c>
      <c r="J85" s="1" t="n">
        <v>0.1266</v>
      </c>
    </row>
    <row r="86" customFormat="false" ht="15" hidden="false" customHeight="false" outlineLevel="0" collapsed="false">
      <c r="A86" s="1" t="s">
        <v>35</v>
      </c>
      <c r="B86" s="1" t="s">
        <v>26</v>
      </c>
      <c r="C86" s="1" t="s">
        <v>13</v>
      </c>
      <c r="D86" s="1" t="s">
        <v>74</v>
      </c>
      <c r="E86" s="1" t="n">
        <v>0.5281</v>
      </c>
      <c r="F86" s="1" t="n">
        <v>0.3602</v>
      </c>
      <c r="G86" s="1" t="n">
        <v>0.3443</v>
      </c>
      <c r="H86" s="1" t="n">
        <v>0.4514</v>
      </c>
      <c r="I86" s="1" t="n">
        <v>0.3602</v>
      </c>
      <c r="J86" s="1" t="n">
        <v>0.1194</v>
      </c>
    </row>
    <row r="87" customFormat="false" ht="15" hidden="false" customHeight="false" outlineLevel="0" collapsed="false">
      <c r="A87" s="1" t="s">
        <v>38</v>
      </c>
      <c r="B87" s="1" t="s">
        <v>26</v>
      </c>
      <c r="C87" s="1" t="s">
        <v>13</v>
      </c>
      <c r="D87" s="1" t="s">
        <v>74</v>
      </c>
      <c r="E87" s="1" t="n">
        <v>0.4825</v>
      </c>
      <c r="F87" s="1" t="n">
        <v>0.4036</v>
      </c>
      <c r="G87" s="1" t="n">
        <v>0.4098</v>
      </c>
      <c r="H87" s="1" t="n">
        <v>0.4695</v>
      </c>
      <c r="I87" s="1" t="n">
        <v>0.4036</v>
      </c>
      <c r="J87" s="1" t="n">
        <v>0.0826</v>
      </c>
    </row>
    <row r="88" customFormat="false" ht="15" hidden="false" customHeight="false" outlineLevel="0" collapsed="false">
      <c r="A88" s="1" t="s">
        <v>37</v>
      </c>
      <c r="B88" s="1" t="s">
        <v>23</v>
      </c>
      <c r="C88" s="1" t="s">
        <v>13</v>
      </c>
      <c r="D88" s="1" t="s">
        <v>74</v>
      </c>
      <c r="E88" s="1" t="n">
        <v>0.4754</v>
      </c>
      <c r="F88" s="1" t="n">
        <v>0.3409</v>
      </c>
      <c r="G88" s="1" t="n">
        <v>0.328</v>
      </c>
      <c r="H88" s="1" t="n">
        <v>0.3456</v>
      </c>
      <c r="I88" s="1" t="n">
        <v>0.3409</v>
      </c>
      <c r="J88" s="1" t="n">
        <v>0.1269</v>
      </c>
    </row>
    <row r="89" customFormat="false" ht="15" hidden="false" customHeight="false" outlineLevel="0" collapsed="false">
      <c r="A89" s="1" t="s">
        <v>39</v>
      </c>
      <c r="B89" s="1" t="s">
        <v>26</v>
      </c>
      <c r="C89" s="1" t="s">
        <v>13</v>
      </c>
      <c r="D89" s="1" t="s">
        <v>74</v>
      </c>
      <c r="E89" s="1" t="n">
        <v>0.4439</v>
      </c>
      <c r="F89" s="1" t="n">
        <v>0.3706</v>
      </c>
      <c r="G89" s="1" t="n">
        <v>0.3785</v>
      </c>
      <c r="H89" s="1" t="n">
        <v>0.4431</v>
      </c>
      <c r="I89" s="1" t="n">
        <v>0.3706</v>
      </c>
      <c r="J89" s="1" t="n">
        <v>0.0442</v>
      </c>
    </row>
    <row r="90" customFormat="false" ht="15" hidden="false" customHeight="false" outlineLevel="0" collapsed="false">
      <c r="A90" s="1" t="s">
        <v>40</v>
      </c>
      <c r="B90" s="1" t="s">
        <v>1</v>
      </c>
      <c r="C90" s="1" t="s">
        <v>13</v>
      </c>
      <c r="D90" s="1" t="s">
        <v>74</v>
      </c>
      <c r="E90" s="1" t="n">
        <v>0.3982</v>
      </c>
      <c r="F90" s="1" t="n">
        <v>0.3903</v>
      </c>
      <c r="G90" s="1" t="n">
        <v>0.3299</v>
      </c>
      <c r="H90" s="1" t="n">
        <v>0.3833</v>
      </c>
      <c r="I90" s="1" t="n">
        <v>0.3903</v>
      </c>
      <c r="J90" s="1" t="n">
        <v>0.0414</v>
      </c>
    </row>
    <row r="91" customFormat="false" ht="15" hidden="false" customHeight="false" outlineLevel="0" collapsed="false">
      <c r="A91" s="1" t="s">
        <v>41</v>
      </c>
      <c r="B91" s="1" t="s">
        <v>23</v>
      </c>
      <c r="C91" s="1" t="s">
        <v>13</v>
      </c>
      <c r="D91" s="1" t="s">
        <v>74</v>
      </c>
      <c r="E91" s="1" t="n">
        <v>0.3877</v>
      </c>
      <c r="F91" s="1" t="n">
        <v>0.2748</v>
      </c>
      <c r="G91" s="1" t="n">
        <v>0.2626</v>
      </c>
      <c r="H91" s="1" t="n">
        <v>0.2993</v>
      </c>
      <c r="I91" s="1" t="n">
        <v>0.2748</v>
      </c>
      <c r="J91" s="1" t="n">
        <v>0.1432</v>
      </c>
    </row>
    <row r="92" customFormat="false" ht="15" hidden="false" customHeight="false" outlineLevel="0" collapsed="false">
      <c r="A92" s="1" t="s">
        <v>42</v>
      </c>
      <c r="B92" s="1" t="s">
        <v>1</v>
      </c>
      <c r="C92" s="1" t="s">
        <v>13</v>
      </c>
      <c r="D92" s="1" t="s">
        <v>74</v>
      </c>
      <c r="E92" s="1" t="n">
        <v>0.3018</v>
      </c>
      <c r="F92" s="1" t="n">
        <v>0.3362</v>
      </c>
      <c r="G92" s="1" t="n">
        <v>0.269</v>
      </c>
      <c r="H92" s="1" t="n">
        <v>0.3264</v>
      </c>
      <c r="I92" s="1" t="n">
        <v>0.3362</v>
      </c>
      <c r="J92" s="1" t="n">
        <v>0.0626</v>
      </c>
    </row>
    <row r="93" customFormat="false" ht="15" hidden="false" customHeight="false" outlineLevel="0" collapsed="false">
      <c r="A93" s="1" t="s">
        <v>44</v>
      </c>
      <c r="B93" s="1" t="s">
        <v>23</v>
      </c>
      <c r="C93" s="1" t="s">
        <v>13</v>
      </c>
      <c r="D93" s="1" t="s">
        <v>74</v>
      </c>
      <c r="E93" s="1" t="n">
        <v>0.2702</v>
      </c>
      <c r="F93" s="1" t="n">
        <v>0.2655</v>
      </c>
      <c r="G93" s="1" t="n">
        <v>0.2184</v>
      </c>
      <c r="H93" s="1" t="n">
        <v>0.2865</v>
      </c>
      <c r="I93" s="1" t="n">
        <v>0.2655</v>
      </c>
      <c r="J93" s="1" t="n">
        <v>0.0596</v>
      </c>
    </row>
    <row r="94" customFormat="false" ht="15" hidden="false" customHeight="false" outlineLevel="0" collapsed="false">
      <c r="A94" s="1" t="s">
        <v>46</v>
      </c>
      <c r="B94" s="1" t="s">
        <v>23</v>
      </c>
      <c r="C94" s="1" t="s">
        <v>13</v>
      </c>
      <c r="D94" s="1" t="s">
        <v>74</v>
      </c>
      <c r="E94" s="1" t="n">
        <v>0.2684</v>
      </c>
      <c r="F94" s="1" t="n">
        <v>0.2386</v>
      </c>
      <c r="G94" s="1" t="n">
        <v>0.2237</v>
      </c>
      <c r="H94" s="1" t="n">
        <v>0.2851</v>
      </c>
      <c r="I94" s="1" t="n">
        <v>0.2386</v>
      </c>
      <c r="J94" s="1" t="n">
        <v>0.0653</v>
      </c>
    </row>
    <row r="95" customFormat="false" ht="15" hidden="false" customHeight="false" outlineLevel="0" collapsed="false">
      <c r="A95" s="1" t="s">
        <v>48</v>
      </c>
      <c r="B95" s="1" t="s">
        <v>26</v>
      </c>
      <c r="C95" s="1" t="s">
        <v>13</v>
      </c>
      <c r="D95" s="1" t="s">
        <v>74</v>
      </c>
      <c r="E95" s="1" t="n">
        <v>0.2316</v>
      </c>
      <c r="F95" s="1" t="n">
        <v>0.2682</v>
      </c>
      <c r="G95" s="1" t="n">
        <v>0.2012</v>
      </c>
      <c r="H95" s="1" t="n">
        <v>0.3152</v>
      </c>
      <c r="I95" s="1" t="n">
        <v>0.2682</v>
      </c>
      <c r="J95" s="1" t="n">
        <v>0.0526</v>
      </c>
    </row>
    <row r="96" customFormat="false" ht="15" hidden="false" customHeight="false" outlineLevel="0" collapsed="false">
      <c r="A96" s="1" t="s">
        <v>49</v>
      </c>
      <c r="B96" s="1" t="s">
        <v>17</v>
      </c>
      <c r="C96" s="1" t="s">
        <v>13</v>
      </c>
      <c r="D96" s="1" t="s">
        <v>74</v>
      </c>
      <c r="E96" s="1" t="n">
        <v>0.2298</v>
      </c>
      <c r="F96" s="1" t="n">
        <v>0.2742</v>
      </c>
      <c r="G96" s="1" t="n">
        <v>0.1503</v>
      </c>
      <c r="H96" s="1" t="n">
        <v>0.115</v>
      </c>
      <c r="I96" s="1" t="n">
        <v>0.2742</v>
      </c>
      <c r="J96" s="1" t="n">
        <v>0.0403</v>
      </c>
    </row>
    <row r="97" customFormat="false" ht="15" hidden="false" customHeight="false" outlineLevel="0" collapsed="false">
      <c r="A97" s="1" t="s">
        <v>50</v>
      </c>
      <c r="B97" s="1" t="s">
        <v>23</v>
      </c>
      <c r="C97" s="1" t="s">
        <v>13</v>
      </c>
      <c r="D97" s="1" t="s">
        <v>74</v>
      </c>
      <c r="E97" s="1" t="n">
        <v>0.2263</v>
      </c>
      <c r="F97" s="1" t="n">
        <v>0.2103</v>
      </c>
      <c r="G97" s="1" t="n">
        <v>0.1836</v>
      </c>
      <c r="H97" s="1" t="n">
        <v>0.2221</v>
      </c>
      <c r="I97" s="1" t="n">
        <v>0.2103</v>
      </c>
      <c r="J97" s="1" t="n">
        <v>0.0587</v>
      </c>
    </row>
    <row r="98" customFormat="false" ht="15" hidden="false" customHeight="false" outlineLevel="0" collapsed="false">
      <c r="A98" s="1" t="s">
        <v>45</v>
      </c>
      <c r="B98" s="1" t="s">
        <v>1</v>
      </c>
      <c r="C98" s="1" t="s">
        <v>13</v>
      </c>
      <c r="D98" s="1" t="s">
        <v>74</v>
      </c>
      <c r="E98" s="1" t="n">
        <v>0.2263</v>
      </c>
      <c r="F98" s="1" t="n">
        <v>0.2763</v>
      </c>
      <c r="G98" s="1" t="n">
        <v>0.1625</v>
      </c>
      <c r="H98" s="1" t="n">
        <v>0.1637</v>
      </c>
      <c r="I98" s="1" t="n">
        <v>0.2763</v>
      </c>
      <c r="J98" s="1" t="n">
        <v>0.0397</v>
      </c>
    </row>
    <row r="99" customFormat="false" ht="15" hidden="false" customHeight="false" outlineLevel="0" collapsed="false">
      <c r="A99" s="1" t="s">
        <v>52</v>
      </c>
      <c r="B99" s="1" t="s">
        <v>23</v>
      </c>
      <c r="C99" s="1" t="s">
        <v>13</v>
      </c>
      <c r="D99" s="1" t="s">
        <v>74</v>
      </c>
      <c r="E99" s="1" t="n">
        <v>0.1982</v>
      </c>
      <c r="F99" s="1" t="n">
        <v>0.1696</v>
      </c>
      <c r="G99" s="1" t="n">
        <v>0.157</v>
      </c>
      <c r="H99" s="1" t="n">
        <v>0.1938</v>
      </c>
      <c r="I99" s="1" t="n">
        <v>0.1696</v>
      </c>
      <c r="J99" s="1" t="n">
        <v>0.0567</v>
      </c>
    </row>
    <row r="100" customFormat="false" ht="15" hidden="false" customHeight="false" outlineLevel="0" collapsed="false">
      <c r="A100" s="1" t="s">
        <v>47</v>
      </c>
      <c r="B100" s="1" t="s">
        <v>23</v>
      </c>
      <c r="C100" s="1" t="s">
        <v>13</v>
      </c>
      <c r="D100" s="1" t="s">
        <v>74</v>
      </c>
      <c r="E100" s="1" t="n">
        <v>0.1842</v>
      </c>
      <c r="F100" s="1" t="n">
        <v>0.2564</v>
      </c>
      <c r="G100" s="1" t="n">
        <v>0.1284</v>
      </c>
      <c r="H100" s="1" t="n">
        <v>0.1105</v>
      </c>
      <c r="I100" s="1" t="n">
        <v>0.2564</v>
      </c>
      <c r="J100" s="1" t="n">
        <v>0.0363</v>
      </c>
    </row>
    <row r="101" customFormat="false" ht="15" hidden="false" customHeight="false" outlineLevel="0" collapsed="false">
      <c r="A101" s="1" t="s">
        <v>43</v>
      </c>
      <c r="B101" s="1" t="s">
        <v>26</v>
      </c>
      <c r="C101" s="1" t="s">
        <v>13</v>
      </c>
      <c r="D101" s="1" t="s">
        <v>74</v>
      </c>
      <c r="E101" s="1" t="n">
        <v>0.1842</v>
      </c>
      <c r="F101" s="1" t="n">
        <v>0.1885</v>
      </c>
      <c r="G101" s="1" t="n">
        <v>0.1658</v>
      </c>
      <c r="H101" s="1" t="n">
        <v>0.2268</v>
      </c>
      <c r="I101" s="1" t="n">
        <v>0.1885</v>
      </c>
      <c r="J101" s="1" t="n">
        <v>0.0512</v>
      </c>
    </row>
    <row r="102" customFormat="false" ht="15" hidden="false" customHeight="false" outlineLevel="0" collapsed="false">
      <c r="A102" s="1" t="s">
        <v>51</v>
      </c>
      <c r="B102" s="1" t="s">
        <v>26</v>
      </c>
      <c r="C102" s="1" t="s">
        <v>13</v>
      </c>
      <c r="D102" s="1" t="s">
        <v>74</v>
      </c>
      <c r="E102" s="1" t="n">
        <v>0.1175</v>
      </c>
      <c r="F102" s="1" t="n">
        <v>0.1533</v>
      </c>
      <c r="G102" s="1" t="n">
        <v>0.077</v>
      </c>
      <c r="H102" s="1" t="n">
        <v>0.0895</v>
      </c>
      <c r="I102" s="1" t="n">
        <v>0.1533</v>
      </c>
      <c r="J102" s="1" t="n">
        <v>0.0192</v>
      </c>
    </row>
    <row r="103" customFormat="false" ht="15" hidden="false" customHeight="false" outlineLevel="0" collapsed="false">
      <c r="A103" s="1" t="s">
        <v>53</v>
      </c>
      <c r="B103" s="1" t="s">
        <v>17</v>
      </c>
      <c r="C103" s="1" t="s">
        <v>13</v>
      </c>
      <c r="D103" s="1" t="s">
        <v>74</v>
      </c>
      <c r="E103" s="1" t="n">
        <v>0.0263</v>
      </c>
      <c r="F103" s="1" t="n">
        <v>0.1429</v>
      </c>
      <c r="G103" s="1" t="n">
        <v>0.0073</v>
      </c>
      <c r="H103" s="1" t="n">
        <v>0.0038</v>
      </c>
      <c r="I103" s="1" t="n">
        <v>0.1429</v>
      </c>
      <c r="J103" s="1" t="n">
        <v>0.0014</v>
      </c>
    </row>
    <row r="104" customFormat="false" ht="15" hidden="false" customHeight="false" outlineLevel="0" collapsed="false">
      <c r="A104" s="1" t="s">
        <v>54</v>
      </c>
      <c r="B104" s="1" t="s">
        <v>17</v>
      </c>
      <c r="C104" s="1" t="s">
        <v>13</v>
      </c>
      <c r="D104" s="1" t="s">
        <v>74</v>
      </c>
      <c r="E104" s="1" t="n">
        <v>0.0263</v>
      </c>
      <c r="F104" s="1" t="n">
        <v>0.1429</v>
      </c>
      <c r="G104" s="1" t="n">
        <v>0.0073</v>
      </c>
      <c r="H104" s="1" t="n">
        <v>0.0038</v>
      </c>
      <c r="I104" s="1" t="n">
        <v>0.1429</v>
      </c>
      <c r="J104" s="1" t="n">
        <v>0.0014</v>
      </c>
    </row>
    <row r="105" customFormat="false" ht="15" hidden="false" customHeight="false" outlineLevel="0" collapsed="false">
      <c r="A105" s="1" t="s">
        <v>55</v>
      </c>
      <c r="B105" s="1" t="s">
        <v>17</v>
      </c>
      <c r="C105" s="1" t="s">
        <v>13</v>
      </c>
      <c r="D105" s="1" t="s">
        <v>74</v>
      </c>
      <c r="E105" s="1" t="n">
        <v>0.0263</v>
      </c>
      <c r="F105" s="1" t="n">
        <v>0.1429</v>
      </c>
      <c r="G105" s="1" t="n">
        <v>0.0073</v>
      </c>
      <c r="H105" s="1" t="n">
        <v>0.0038</v>
      </c>
      <c r="I105" s="1" t="n">
        <v>0.1429</v>
      </c>
      <c r="J105" s="1" t="n">
        <v>0.0014</v>
      </c>
    </row>
    <row r="106" customFormat="false" ht="15" hidden="false" customHeight="false" outlineLevel="0" collapsed="false">
      <c r="A106" s="1" t="s">
        <v>56</v>
      </c>
      <c r="B106" s="1" t="s">
        <v>17</v>
      </c>
      <c r="C106" s="1" t="s">
        <v>13</v>
      </c>
      <c r="D106" s="1" t="s">
        <v>74</v>
      </c>
      <c r="E106" s="1" t="n">
        <v>0.0263</v>
      </c>
      <c r="F106" s="1" t="n">
        <v>0.1429</v>
      </c>
      <c r="G106" s="1" t="n">
        <v>0.0073</v>
      </c>
      <c r="H106" s="1" t="n">
        <v>0.0038</v>
      </c>
      <c r="I106" s="1" t="n">
        <v>0.1429</v>
      </c>
      <c r="J106" s="1" t="n">
        <v>0.0014</v>
      </c>
    </row>
    <row r="107" customFormat="false" ht="15" hidden="false" customHeight="false" outlineLevel="0" collapsed="false">
      <c r="A107" s="1" t="s">
        <v>57</v>
      </c>
      <c r="B107" s="1" t="s">
        <v>26</v>
      </c>
      <c r="C107" s="1" t="s">
        <v>13</v>
      </c>
      <c r="D107" s="1" t="s">
        <v>74</v>
      </c>
    </row>
    <row r="108" customFormat="false" ht="15" hidden="false" customHeight="false" outlineLevel="0" collapsed="false">
      <c r="A108" s="1" t="s">
        <v>58</v>
      </c>
      <c r="B108" s="1" t="s">
        <v>26</v>
      </c>
      <c r="C108" s="1" t="s">
        <v>13</v>
      </c>
      <c r="D108" s="1" t="s">
        <v>74</v>
      </c>
    </row>
    <row r="109" customFormat="false" ht="15" hidden="false" customHeight="false" outlineLevel="0" collapsed="false">
      <c r="A109" s="1" t="s">
        <v>59</v>
      </c>
      <c r="B109" s="1" t="s">
        <v>26</v>
      </c>
      <c r="C109" s="1" t="s">
        <v>13</v>
      </c>
      <c r="D109" s="1" t="s">
        <v>74</v>
      </c>
    </row>
    <row r="110" customFormat="false" ht="15" hidden="false" customHeight="false" outlineLevel="0" collapsed="false">
      <c r="A110" s="1" t="s">
        <v>60</v>
      </c>
      <c r="B110" s="1" t="s">
        <v>26</v>
      </c>
      <c r="C110" s="1" t="s">
        <v>13</v>
      </c>
      <c r="D110" s="1" t="s">
        <v>74</v>
      </c>
    </row>
    <row r="111" customFormat="false" ht="15" hidden="false" customHeight="false" outlineLevel="0" collapsed="false">
      <c r="A111" s="1" t="s">
        <v>61</v>
      </c>
      <c r="B111" s="1" t="s">
        <v>23</v>
      </c>
      <c r="C111" s="1" t="s">
        <v>13</v>
      </c>
      <c r="D111" s="1" t="s">
        <v>74</v>
      </c>
    </row>
    <row r="112" customFormat="false" ht="15" hidden="false" customHeight="false" outlineLevel="0" collapsed="false">
      <c r="A112" s="1" t="s">
        <v>62</v>
      </c>
      <c r="B112" s="1" t="s">
        <v>23</v>
      </c>
      <c r="C112" s="1" t="s">
        <v>13</v>
      </c>
      <c r="D112" s="1" t="s">
        <v>74</v>
      </c>
    </row>
    <row r="113" customFormat="false" ht="15" hidden="false" customHeight="false" outlineLevel="0" collapsed="false">
      <c r="A113" s="1" t="s">
        <v>63</v>
      </c>
      <c r="B113" s="1" t="s">
        <v>23</v>
      </c>
      <c r="C113" s="1" t="s">
        <v>13</v>
      </c>
      <c r="D113" s="1" t="s">
        <v>74</v>
      </c>
    </row>
    <row r="114" customFormat="false" ht="15" hidden="false" customHeight="false" outlineLevel="0" collapsed="false">
      <c r="A114" s="1" t="s">
        <v>64</v>
      </c>
      <c r="B114" s="1" t="s">
        <v>23</v>
      </c>
      <c r="C114" s="1" t="s">
        <v>13</v>
      </c>
      <c r="D114" s="1" t="s">
        <v>74</v>
      </c>
    </row>
    <row r="115" customFormat="false" ht="15" hidden="false" customHeight="false" outlineLevel="0" collapsed="false">
      <c r="A115" s="1" t="s">
        <v>65</v>
      </c>
      <c r="B115" s="1" t="s">
        <v>17</v>
      </c>
      <c r="C115" s="1" t="s">
        <v>13</v>
      </c>
      <c r="D115" s="1" t="s">
        <v>74</v>
      </c>
    </row>
    <row r="116" customFormat="false" ht="15" hidden="false" customHeight="false" outlineLevel="0" collapsed="false">
      <c r="A116" s="1" t="s">
        <v>66</v>
      </c>
      <c r="B116" s="1" t="s">
        <v>17</v>
      </c>
      <c r="C116" s="1" t="s">
        <v>13</v>
      </c>
      <c r="D116" s="1" t="s">
        <v>74</v>
      </c>
    </row>
    <row r="117" customFormat="false" ht="15" hidden="false" customHeight="false" outlineLevel="0" collapsed="false">
      <c r="A117" s="1" t="s">
        <v>67</v>
      </c>
      <c r="B117" s="1" t="s">
        <v>17</v>
      </c>
      <c r="C117" s="1" t="s">
        <v>13</v>
      </c>
      <c r="D117" s="1" t="s">
        <v>74</v>
      </c>
    </row>
    <row r="118" customFormat="false" ht="15" hidden="false" customHeight="false" outlineLevel="0" collapsed="false">
      <c r="A118" s="1" t="s">
        <v>68</v>
      </c>
      <c r="B118" s="1" t="s">
        <v>17</v>
      </c>
      <c r="C118" s="1" t="s">
        <v>13</v>
      </c>
      <c r="D118" s="1" t="s">
        <v>74</v>
      </c>
    </row>
    <row r="119" customFormat="false" ht="15" hidden="false" customHeight="false" outlineLevel="0" collapsed="false">
      <c r="A119" s="1" t="s">
        <v>69</v>
      </c>
      <c r="B119" s="1" t="s">
        <v>1</v>
      </c>
      <c r="C119" s="1" t="s">
        <v>13</v>
      </c>
      <c r="D119" s="1" t="s">
        <v>74</v>
      </c>
    </row>
    <row r="120" customFormat="false" ht="15" hidden="false" customHeight="false" outlineLevel="0" collapsed="false">
      <c r="A120" s="1" t="s">
        <v>70</v>
      </c>
      <c r="B120" s="1" t="s">
        <v>1</v>
      </c>
      <c r="C120" s="1" t="s">
        <v>13</v>
      </c>
      <c r="D120" s="1" t="s">
        <v>74</v>
      </c>
    </row>
    <row r="121" customFormat="false" ht="15" hidden="false" customHeight="false" outlineLevel="0" collapsed="false">
      <c r="A121" s="1" t="s">
        <v>71</v>
      </c>
      <c r="B121" s="1" t="s">
        <v>1</v>
      </c>
      <c r="C121" s="1" t="s">
        <v>13</v>
      </c>
      <c r="D121" s="1" t="s">
        <v>74</v>
      </c>
    </row>
    <row r="122" customFormat="false" ht="15" hidden="false" customHeight="false" outlineLevel="0" collapsed="false">
      <c r="A122" s="1" t="s">
        <v>72</v>
      </c>
      <c r="B122" s="1" t="s">
        <v>1</v>
      </c>
      <c r="C122" s="1" t="s">
        <v>13</v>
      </c>
      <c r="D122" s="1" t="s">
        <v>74</v>
      </c>
    </row>
    <row r="123" customFormat="false" ht="15" hidden="false" customHeight="false" outlineLevel="0" collapsed="false">
      <c r="A123" s="1" t="s">
        <v>73</v>
      </c>
      <c r="B123" s="1" t="s">
        <v>1</v>
      </c>
      <c r="C123" s="1" t="s">
        <v>13</v>
      </c>
      <c r="D123" s="1" t="s">
        <v>74</v>
      </c>
    </row>
    <row r="125" customFormat="false" ht="15" hidden="false" customHeight="false" outlineLevel="0" collapsed="false">
      <c r="A125" s="1" t="s">
        <v>75</v>
      </c>
      <c r="E125" s="1" t="n">
        <f aca="false">ROUND(STDEV(E4:E63), 5)</f>
        <v>0.27419</v>
      </c>
      <c r="F125" s="1" t="n">
        <f aca="false">ROUND(STDEV(F4:F63), 5)</f>
        <v>0.17895</v>
      </c>
      <c r="G125" s="1" t="n">
        <f aca="false">ROUND(STDEV(G4:G63), 5)</f>
        <v>0.21077</v>
      </c>
      <c r="H125" s="1" t="n">
        <f aca="false">ROUND(STDEV(H4:H63), 5)</f>
        <v>0.21301</v>
      </c>
      <c r="I125" s="1" t="n">
        <f aca="false">ROUND(STDEV(I4:I63), 5)</f>
        <v>0.17895</v>
      </c>
      <c r="J125" s="1" t="n">
        <f aca="false">ROUND(STDEV(J4:J63), 5)</f>
        <v>0.04765</v>
      </c>
    </row>
    <row r="126" customFormat="false" ht="15" hidden="false" customHeight="false" outlineLevel="0" collapsed="false">
      <c r="A126" s="1" t="s">
        <v>76</v>
      </c>
      <c r="E126" s="1" t="n">
        <f aca="false">ROUND(STDEV(E64:E123), 5)</f>
        <v>0.27215</v>
      </c>
      <c r="F126" s="1" t="n">
        <f aca="false">ROUND(STDEV(F64:F123), 5)</f>
        <v>0.17573</v>
      </c>
      <c r="G126" s="1" t="n">
        <f aca="false">ROUND(STDEV(G64:G123), 5)</f>
        <v>0.20817</v>
      </c>
      <c r="H126" s="1" t="n">
        <f aca="false">ROUND(STDEV(H64:H123), 5)</f>
        <v>0.20943</v>
      </c>
      <c r="I126" s="1" t="n">
        <f aca="false">ROUND(STDEV(I64:I123), 5)</f>
        <v>0.17573</v>
      </c>
      <c r="J126" s="1" t="n">
        <f aca="false">ROUND(STDEV(J64:J123), 5)</f>
        <v>0.04503</v>
      </c>
    </row>
    <row r="1048576" customFormat="false" ht="12.8" hidden="false" customHeight="false" outlineLevel="0" collapsed="false"/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K7" activeCellId="0" sqref="K7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34.78"/>
    <col collapsed="false" customWidth="true" hidden="false" outlineLevel="0" max="2" min="2" style="1" width="12.88"/>
    <col collapsed="false" customWidth="true" hidden="false" outlineLevel="0" max="4" min="4" style="1" width="12.1"/>
    <col collapsed="false" customWidth="true" hidden="false" outlineLevel="0" max="9" min="9" style="0" width="11.71"/>
    <col collapsed="false" customWidth="true" hidden="false" outlineLevel="0" max="11" min="11" style="0" width="21.52"/>
    <col collapsed="false" customWidth="true" hidden="false" outlineLevel="0" max="16384" min="16382" style="1" width="11.53"/>
  </cols>
  <sheetData>
    <row r="1" customFormat="false" ht="13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3.8" hidden="false" customHeight="fals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3.8" hidden="false" customHeight="false" outlineLevel="0" collapsed="false">
      <c r="A3" s="4" t="s">
        <v>77</v>
      </c>
      <c r="B3" s="4" t="s">
        <v>4</v>
      </c>
      <c r="C3" s="4" t="s">
        <v>5</v>
      </c>
      <c r="D3" s="4" t="s">
        <v>6</v>
      </c>
      <c r="E3" s="4" t="s">
        <v>78</v>
      </c>
      <c r="F3" s="4" t="s">
        <v>9</v>
      </c>
      <c r="G3" s="4" t="s">
        <v>10</v>
      </c>
      <c r="H3" s="4"/>
      <c r="I3" s="4"/>
      <c r="J3" s="4"/>
      <c r="K3" s="4"/>
      <c r="L3" s="4"/>
      <c r="M3" s="4"/>
      <c r="N3" s="4"/>
    </row>
    <row r="4" customFormat="false" ht="13.8" hidden="false" customHeight="false" outlineLevel="0" collapsed="false">
      <c r="A4" s="1" t="s">
        <v>79</v>
      </c>
      <c r="B4" s="1" t="str">
        <f aca="false">IF(  OR(ISNUMBER(SEARCH("SMOTEENN",A4)),ISNUMBER(SEARCH("SMOTETomek",A4))),  "Hybrid",  IF(   AND(    OR(ISNUMBER(SEARCH("SMOTE",A4)),ISNUMBER(SEARCH("SVMSMOTE",A4)),ISNUMBER(SEARCH("RandomOverSampler",A4)),ISNUMBER(SEARCH("BorderlineSmote",A4))),    OR(ISNUMBER(SEARCH("RandomUnderSampler",A4)),ISNUMBER(SEARCH("ClusterCentroids",A4)),ISNUMBER(SEARCH("OneSidedSelection",A4)))   ),   "Over+Under",   IF(    OR(ISNUMBER(SEARCH("SMOTE",A4)),ISNUMBER(SEARCH("SVMSMOTE",A4)),ISNUMBER(SEARCH("RandomOverSampler",A4)),ISNUMBER(SEARCH("BorderlineSmote",A4))),    "Oversampling",    IF(     OR(ISNUMBER(SEARCH("RandomUnderSampler",A4)),ISNUMBER(SEARCH("ClusterCentroids",A4)),ISNUMBER(SEARCH("OneSidedSelection",A4))),     "Undersampler",     "Czysty"    )   )  ) )</f>
        <v>Oversampling</v>
      </c>
      <c r="C4" s="1" t="s">
        <v>14</v>
      </c>
      <c r="D4" s="1" t="n">
        <v>0.8702</v>
      </c>
      <c r="E4" s="1" t="n">
        <v>0.633</v>
      </c>
      <c r="F4" s="1" t="n">
        <v>0.632</v>
      </c>
      <c r="G4" s="1" t="n">
        <v>0.6403</v>
      </c>
      <c r="I4" s="0" t="s">
        <v>0</v>
      </c>
    </row>
    <row r="5" customFormat="false" ht="13.8" hidden="false" customHeight="false" outlineLevel="0" collapsed="false">
      <c r="A5" s="1" t="s">
        <v>80</v>
      </c>
      <c r="B5" s="1" t="str">
        <f aca="false">IF(  OR(ISNUMBER(SEARCH("SMOTEENN",A5)),ISNUMBER(SEARCH("SMOTETomek",A5))),  "Hybrid",  IF(   AND(    OR(ISNUMBER(SEARCH("SMOTE",A5)),ISNUMBER(SEARCH("SVMSMOTE",A5)),ISNUMBER(SEARCH("RandomOverSampler",A5)),ISNUMBER(SEARCH("BorderlineSmote",A5))),    OR(ISNUMBER(SEARCH("RandomUnderSampler",A5)),ISNUMBER(SEARCH("ClusterCentroids",A5)),ISNUMBER(SEARCH("OneSidedSelection",A5)))   ),   "Over+Under",   IF(    OR(ISNUMBER(SEARCH("SMOTE",A5)),ISNUMBER(SEARCH("SVMSMOTE",A5)),ISNUMBER(SEARCH("RandomOverSampler",A5)),ISNUMBER(SEARCH("BorderlineSmote",A5))),    "Oversampling",    IF(     OR(ISNUMBER(SEARCH("RandomUnderSampler",A5)),ISNUMBER(SEARCH("ClusterCentroids",A5)),ISNUMBER(SEARCH("OneSidedSelection",A5))),     "Undersampler",     "Czysty"    )   )  ) )</f>
        <v>Hybrid</v>
      </c>
      <c r="C5" s="1" t="s">
        <v>14</v>
      </c>
      <c r="D5" s="1" t="n">
        <v>0.8561</v>
      </c>
      <c r="E5" s="1" t="n">
        <v>0.6292</v>
      </c>
      <c r="F5" s="1" t="n">
        <v>0.6247</v>
      </c>
      <c r="G5" s="1" t="n">
        <v>0.6397</v>
      </c>
      <c r="I5" s="0" t="s">
        <v>1</v>
      </c>
    </row>
    <row r="6" customFormat="false" ht="13.8" hidden="false" customHeight="false" outlineLevel="0" collapsed="false">
      <c r="A6" s="1" t="s">
        <v>81</v>
      </c>
      <c r="B6" s="1" t="str">
        <f aca="false">IF(  OR(ISNUMBER(SEARCH("SMOTEENN",A6)),ISNUMBER(SEARCH("SMOTETomek",A6))),  "Hybrid",  IF(   AND(    OR(ISNUMBER(SEARCH("SMOTE",A6)),ISNUMBER(SEARCH("SVMSMOTE",A6)),ISNUMBER(SEARCH("RandomOverSampler",A6)),ISNUMBER(SEARCH("BorderlineSmote",A6))),    OR(ISNUMBER(SEARCH("RandomUnderSampler",A6)),ISNUMBER(SEARCH("ClusterCentroids",A6)),ISNUMBER(SEARCH("OneSidedSelection",A6)))   ),   "Over+Under",   IF(    OR(ISNUMBER(SEARCH("SMOTE",A6)),ISNUMBER(SEARCH("SVMSMOTE",A6)),ISNUMBER(SEARCH("RandomOverSampler",A6)),ISNUMBER(SEARCH("BorderlineSmote",A6))),    "Oversampling",    IF(     OR(ISNUMBER(SEARCH("RandomUnderSampler",A6)),ISNUMBER(SEARCH("ClusterCentroids",A6)),ISNUMBER(SEARCH("OneSidedSelection",A6))),     "Undersampler",     "Czysty"    )   )  ) )</f>
        <v>Oversampling</v>
      </c>
      <c r="C6" s="1" t="s">
        <v>14</v>
      </c>
      <c r="D6" s="1" t="n">
        <v>0.8737</v>
      </c>
      <c r="E6" s="1" t="n">
        <v>0.6291</v>
      </c>
      <c r="F6" s="1" t="n">
        <v>0.6248</v>
      </c>
      <c r="G6" s="1" t="n">
        <v>0.6413</v>
      </c>
      <c r="I6" s="0" t="s">
        <v>14</v>
      </c>
      <c r="J6" s="0" t="n">
        <f aca="false">MAX(E4:E13)</f>
        <v>0.633</v>
      </c>
      <c r="K6" s="0" t="str">
        <f aca="false">INDEX(A4:A13,    MATCH(   J6,   E4:E13, 0)    )</f>
        <v>BorderlineSmote</v>
      </c>
    </row>
    <row r="7" customFormat="false" ht="13.8" hidden="false" customHeight="false" outlineLevel="0" collapsed="false">
      <c r="A7" s="1" t="s">
        <v>1</v>
      </c>
      <c r="B7" s="1" t="str">
        <f aca="false">IF(  OR(ISNUMBER(SEARCH("SMOTEENN",A7)),ISNUMBER(SEARCH("SMOTETomek",A7))),  "Hybrid",  IF(   AND(    OR(ISNUMBER(SEARCH("SMOTE",A7)),ISNUMBER(SEARCH("SVMSMOTE",A7)),ISNUMBER(SEARCH("RandomOverSampler",A7)),ISNUMBER(SEARCH("BorderlineSmote",A7))),    OR(ISNUMBER(SEARCH("RandomUnderSampler",A7)),ISNUMBER(SEARCH("ClusterCentroids",A7)),ISNUMBER(SEARCH("OneSidedSelection",A7)))   ),   "Over+Under",   IF(    OR(ISNUMBER(SEARCH("SMOTE",A7)),ISNUMBER(SEARCH("SVMSMOTE",A7)),ISNUMBER(SEARCH("RandomOverSampler",A7)),ISNUMBER(SEARCH("BorderlineSmote",A7))),    "Oversampling",    IF(     OR(ISNUMBER(SEARCH("RandomUnderSampler",A7)),ISNUMBER(SEARCH("ClusterCentroids",A7)),ISNUMBER(SEARCH("OneSidedSelection",A7))),     "Undersampler",     "Czysty"    )   )  ) )</f>
        <v>Czysty</v>
      </c>
      <c r="C7" s="1" t="s">
        <v>14</v>
      </c>
      <c r="D7" s="1" t="n">
        <v>0.8211</v>
      </c>
      <c r="E7" s="1" t="n">
        <v>0.5307</v>
      </c>
      <c r="F7" s="1" t="n">
        <v>0.5732</v>
      </c>
      <c r="G7" s="1" t="n">
        <v>0.5458</v>
      </c>
      <c r="I7" s="0" t="s">
        <v>74</v>
      </c>
      <c r="J7" s="0" t="n">
        <f aca="false">MAX(E14:E23)</f>
        <v>0.6504</v>
      </c>
      <c r="K7" s="0" t="str">
        <f aca="false">INDEX(A14:A23,    MATCH(   J7,   E14:E23, 0)    )</f>
        <v>BorderlineSmote</v>
      </c>
    </row>
    <row r="8" customFormat="false" ht="13.8" hidden="false" customHeight="false" outlineLevel="0" collapsed="false">
      <c r="A8" s="1" t="s">
        <v>82</v>
      </c>
      <c r="B8" s="1" t="str">
        <f aca="false">IF(  OR(ISNUMBER(SEARCH("SMOTEENN",A8)),ISNUMBER(SEARCH("SMOTETomek",A8))),  "Hybrid",  IF(   AND(    OR(ISNUMBER(SEARCH("SMOTE",A8)),ISNUMBER(SEARCH("SVMSMOTE",A8)),ISNUMBER(SEARCH("RandomOverSampler",A8)),ISNUMBER(SEARCH("BorderlineSmote",A8))),    OR(ISNUMBER(SEARCH("RandomUnderSampler",A8)),ISNUMBER(SEARCH("ClusterCentroids",A8)),ISNUMBER(SEARCH("OneSidedSelection",A8)))   ),   "Over+Under",   IF(    OR(ISNUMBER(SEARCH("SMOTE",A8)),ISNUMBER(SEARCH("SVMSMOTE",A8)),ISNUMBER(SEARCH("RandomOverSampler",A8)),ISNUMBER(SEARCH("BorderlineSmote",A8))),    "Oversampling",    IF(     OR(ISNUMBER(SEARCH("RandomUnderSampler",A8)),ISNUMBER(SEARCH("ClusterCentroids",A8)),ISNUMBER(SEARCH("OneSidedSelection",A8))),     "Undersampler",     "Czysty"    )   )  ) )</f>
        <v>Over+Under</v>
      </c>
      <c r="C8" s="1" t="s">
        <v>14</v>
      </c>
      <c r="D8" s="1" t="n">
        <v>0.5807</v>
      </c>
      <c r="E8" s="1" t="n">
        <v>0.4463</v>
      </c>
      <c r="F8" s="1" t="n">
        <v>0.4625</v>
      </c>
      <c r="G8" s="1" t="n">
        <v>0.4837</v>
      </c>
    </row>
    <row r="9" customFormat="false" ht="13.8" hidden="false" customHeight="false" outlineLevel="0" collapsed="false">
      <c r="A9" s="1" t="s">
        <v>83</v>
      </c>
      <c r="B9" s="1" t="str">
        <f aca="false">IF(  OR(ISNUMBER(SEARCH("SMOTEENN",A9)),ISNUMBER(SEARCH("SMOTETomek",A9))),  "Hybrid",  IF(   AND(    OR(ISNUMBER(SEARCH("SMOTE",A9)),ISNUMBER(SEARCH("SVMSMOTE",A9)),ISNUMBER(SEARCH("RandomOverSampler",A9)),ISNUMBER(SEARCH("BorderlineSmote",A9))),    OR(ISNUMBER(SEARCH("RandomUnderSampler",A9)),ISNUMBER(SEARCH("ClusterCentroids",A9)),ISNUMBER(SEARCH("OneSidedSelection",A9)))   ),   "Over+Under",   IF(    OR(ISNUMBER(SEARCH("SMOTE",A9)),ISNUMBER(SEARCH("SVMSMOTE",A9)),ISNUMBER(SEARCH("RandomOverSampler",A9)),ISNUMBER(SEARCH("BorderlineSmote",A9))),    "Oversampling",    IF(     OR(ISNUMBER(SEARCH("RandomUnderSampler",A9)),ISNUMBER(SEARCH("ClusterCentroids",A9)),ISNUMBER(SEARCH("OneSidedSelection",A9))),     "Undersampler",     "Czysty"    )   )  ) )</f>
        <v>Over+Under</v>
      </c>
      <c r="C9" s="1" t="s">
        <v>14</v>
      </c>
      <c r="D9" s="1" t="n">
        <v>0.5789</v>
      </c>
      <c r="E9" s="1" t="n">
        <v>0.4201</v>
      </c>
      <c r="F9" s="1" t="n">
        <v>0.4396</v>
      </c>
      <c r="G9" s="1" t="n">
        <v>0.4416</v>
      </c>
      <c r="I9" s="0" t="s">
        <v>17</v>
      </c>
    </row>
    <row r="10" customFormat="false" ht="13.8" hidden="false" customHeight="false" outlineLevel="0" collapsed="false">
      <c r="A10" s="1" t="s">
        <v>84</v>
      </c>
      <c r="B10" s="1" t="str">
        <f aca="false">IF(  OR(ISNUMBER(SEARCH("SMOTEENN",A10)),ISNUMBER(SEARCH("SMOTETomek",A10))),  "Hybrid",  IF(   AND(    OR(ISNUMBER(SEARCH("SMOTE",A10)),ISNUMBER(SEARCH("SVMSMOTE",A10)),ISNUMBER(SEARCH("RandomOverSampler",A10)),ISNUMBER(SEARCH("BorderlineSmote",A10))),    OR(ISNUMBER(SEARCH("RandomUnderSampler",A10)),ISNUMBER(SEARCH("ClusterCentroids",A10)),ISNUMBER(SEARCH("OneSidedSelection",A10)))   ),   "Over+Under",   IF(    OR(ISNUMBER(SEARCH("SMOTE",A10)),ISNUMBER(SEARCH("SVMSMOTE",A10)),ISNUMBER(SEARCH("RandomOverSampler",A10)),ISNUMBER(SEARCH("BorderlineSmote",A10))),    "Oversampling",    IF(     OR(ISNUMBER(SEARCH("RandomUnderSampler",A10)),ISNUMBER(SEARCH("ClusterCentroids",A10)),ISNUMBER(SEARCH("OneSidedSelection",A10))),     "Undersampler",     "Czysty"    )   )  ) )</f>
        <v>Over+Under</v>
      </c>
      <c r="C10" s="1" t="s">
        <v>14</v>
      </c>
      <c r="D10" s="1" t="n">
        <v>0.5754</v>
      </c>
      <c r="E10" s="1" t="n">
        <v>0.3637</v>
      </c>
      <c r="F10" s="1" t="n">
        <v>0.3611</v>
      </c>
      <c r="G10" s="1" t="n">
        <v>0.4147</v>
      </c>
      <c r="I10" s="0" t="s">
        <v>14</v>
      </c>
      <c r="J10" s="0" t="n">
        <f aca="false">MAX(E26:E36)</f>
        <v>0.7032</v>
      </c>
      <c r="K10" s="0" t="str">
        <f aca="false">INDEX(A26:A47,    MATCH(   J10,   E26:E47, 0)    )</f>
        <v>SMOTETomek</v>
      </c>
    </row>
    <row r="11" customFormat="false" ht="13.8" hidden="false" customHeight="false" outlineLevel="0" collapsed="false">
      <c r="A11" s="1" t="s">
        <v>85</v>
      </c>
      <c r="B11" s="1" t="str">
        <f aca="false">IF(  OR(ISNUMBER(SEARCH("SMOTEENN",A11)),ISNUMBER(SEARCH("SMOTETomek",A11))),  "Hybrid",  IF(   AND(    OR(ISNUMBER(SEARCH("SMOTE",A11)),ISNUMBER(SEARCH("SVMSMOTE",A11)),ISNUMBER(SEARCH("RandomOverSampler",A11)),ISNUMBER(SEARCH("BorderlineSmote",A11))),    OR(ISNUMBER(SEARCH("RandomUnderSampler",A11)),ISNUMBER(SEARCH("ClusterCentroids",A11)),ISNUMBER(SEARCH("OneSidedSelection",A11)))   ),   "Over+Under",   IF(    OR(ISNUMBER(SEARCH("SMOTE",A11)),ISNUMBER(SEARCH("SVMSMOTE",A11)),ISNUMBER(SEARCH("RandomOverSampler",A11)),ISNUMBER(SEARCH("BorderlineSmote",A11))),    "Oversampling",    IF(     OR(ISNUMBER(SEARCH("RandomUnderSampler",A11)),ISNUMBER(SEARCH("ClusterCentroids",A11)),ISNUMBER(SEARCH("OneSidedSelection",A11))),     "Undersampler",     "Czysty"    )   )  ) )</f>
        <v>Over+Under</v>
      </c>
      <c r="C11" s="1" t="s">
        <v>14</v>
      </c>
      <c r="D11" s="1" t="n">
        <v>0.3123</v>
      </c>
      <c r="E11" s="1" t="n">
        <v>0.2826</v>
      </c>
      <c r="F11" s="1" t="n">
        <v>0.3505</v>
      </c>
      <c r="G11" s="1" t="n">
        <v>0.3302</v>
      </c>
      <c r="I11" s="0" t="s">
        <v>74</v>
      </c>
      <c r="J11" s="0" t="n">
        <f aca="false">MAX(E37:E47)</f>
        <v>0.6887</v>
      </c>
      <c r="K11" s="0" t="str">
        <f aca="false">INDEX(A26:A47,    MATCH(   J11,   E26:E47, 0)    )</f>
        <v>SMOTETomek</v>
      </c>
    </row>
    <row r="12" customFormat="false" ht="13.8" hidden="false" customHeight="false" outlineLevel="0" collapsed="false">
      <c r="A12" s="1" t="s">
        <v>86</v>
      </c>
      <c r="B12" s="1" t="str">
        <f aca="false">IF(  OR(ISNUMBER(SEARCH("SMOTEENN",A12)),ISNUMBER(SEARCH("SMOTETomek",A12))),  "Hybrid",  IF(   AND(    OR(ISNUMBER(SEARCH("SMOTE",A12)),ISNUMBER(SEARCH("SVMSMOTE",A12)),ISNUMBER(SEARCH("RandomOverSampler",A12)),ISNUMBER(SEARCH("BorderlineSmote",A12))),    OR(ISNUMBER(SEARCH("RandomUnderSampler",A12)),ISNUMBER(SEARCH("ClusterCentroids",A12)),ISNUMBER(SEARCH("OneSidedSelection",A12)))   ),   "Over+Under",   IF(    OR(ISNUMBER(SEARCH("SMOTE",A12)),ISNUMBER(SEARCH("SVMSMOTE",A12)),ISNUMBER(SEARCH("RandomOverSampler",A12)),ISNUMBER(SEARCH("BorderlineSmote",A12))),    "Oversampling",    IF(     OR(ISNUMBER(SEARCH("RandomUnderSampler",A12)),ISNUMBER(SEARCH("ClusterCentroids",A12)),ISNUMBER(SEARCH("OneSidedSelection",A12))),     "Undersampler",     "Czysty"    )   )  ) )</f>
        <v>Over+Under</v>
      </c>
      <c r="C12" s="1" t="s">
        <v>14</v>
      </c>
      <c r="D12" s="1" t="n">
        <v>0.3719</v>
      </c>
      <c r="E12" s="1" t="n">
        <v>0.278</v>
      </c>
      <c r="F12" s="1" t="n">
        <v>0.323</v>
      </c>
      <c r="G12" s="1" t="n">
        <v>0.3381</v>
      </c>
    </row>
    <row r="13" customFormat="false" ht="13.8" hidden="false" customHeight="false" outlineLevel="0" collapsed="false">
      <c r="A13" s="1" t="s">
        <v>87</v>
      </c>
      <c r="B13" s="1" t="str">
        <f aca="false">IF(  OR(ISNUMBER(SEARCH("SMOTEENN",A13)),ISNUMBER(SEARCH("SMOTETomek",A13))),  "Hybrid",  IF(   AND(    OR(ISNUMBER(SEARCH("SMOTE",A13)),ISNUMBER(SEARCH("SVMSMOTE",A13)),ISNUMBER(SEARCH("RandomOverSampler",A13)),ISNUMBER(SEARCH("BorderlineSmote",A13))),    OR(ISNUMBER(SEARCH("RandomUnderSampler",A13)),ISNUMBER(SEARCH("ClusterCentroids",A13)),ISNUMBER(SEARCH("OneSidedSelection",A13)))   ),   "Over+Under",   IF(    OR(ISNUMBER(SEARCH("SMOTE",A13)),ISNUMBER(SEARCH("SVMSMOTE",A13)),ISNUMBER(SEARCH("RandomOverSampler",A13)),ISNUMBER(SEARCH("BorderlineSmote",A13))),    "Oversampling",    IF(     OR(ISNUMBER(SEARCH("RandomUnderSampler",A13)),ISNUMBER(SEARCH("ClusterCentroids",A13)),ISNUMBER(SEARCH("OneSidedSelection",A13))),     "Undersampler",     "Czysty"    )   )  ) )</f>
        <v>Hybrid</v>
      </c>
      <c r="C13" s="1" t="s">
        <v>14</v>
      </c>
      <c r="D13" s="1" t="n">
        <v>0.2263</v>
      </c>
      <c r="E13" s="1" t="n">
        <v>0.1524</v>
      </c>
      <c r="F13" s="1" t="n">
        <v>0.15</v>
      </c>
      <c r="G13" s="1" t="n">
        <v>0.2577</v>
      </c>
      <c r="I13" s="0" t="s">
        <v>23</v>
      </c>
    </row>
    <row r="14" customFormat="false" ht="13.8" hidden="false" customHeight="false" outlineLevel="0" collapsed="false">
      <c r="A14" s="1" t="s">
        <v>79</v>
      </c>
      <c r="B14" s="1" t="str">
        <f aca="false">IF(  OR(ISNUMBER(SEARCH("SMOTEENN",A14)),ISNUMBER(SEARCH("SMOTETomek",A14))),  "Hybrid",  IF(   AND(    OR(ISNUMBER(SEARCH("SMOTE",A14)),ISNUMBER(SEARCH("SVMSMOTE",A14)),ISNUMBER(SEARCH("RandomOverSampler",A14)),ISNUMBER(SEARCH("BorderlineSmote",A14))),    OR(ISNUMBER(SEARCH("RandomUnderSampler",A14)),ISNUMBER(SEARCH("ClusterCentroids",A14)),ISNUMBER(SEARCH("OneSidedSelection",A14)))   ),   "Over+Under",   IF(    OR(ISNUMBER(SEARCH("SMOTE",A14)),ISNUMBER(SEARCH("SVMSMOTE",A14)),ISNUMBER(SEARCH("RandomOverSampler",A14)),ISNUMBER(SEARCH("BorderlineSmote",A14))),    "Oversampling",    IF(     OR(ISNUMBER(SEARCH("RandomUnderSampler",A14)),ISNUMBER(SEARCH("ClusterCentroids",A14)),ISNUMBER(SEARCH("OneSidedSelection",A14))),     "Undersampler",     "Czysty"    )   )  ) )</f>
        <v>Oversampling</v>
      </c>
      <c r="C14" s="1" t="s">
        <v>74</v>
      </c>
      <c r="D14" s="1" t="n">
        <v>0.8737</v>
      </c>
      <c r="E14" s="1" t="n">
        <v>0.6504</v>
      </c>
      <c r="F14" s="1" t="n">
        <v>0.656</v>
      </c>
      <c r="G14" s="1" t="n">
        <v>0.6567</v>
      </c>
      <c r="I14" s="0" t="s">
        <v>14</v>
      </c>
      <c r="J14" s="1" t="n">
        <v>0.6077</v>
      </c>
      <c r="K14" s="1" t="s">
        <v>80</v>
      </c>
    </row>
    <row r="15" customFormat="false" ht="13.8" hidden="false" customHeight="false" outlineLevel="0" collapsed="false">
      <c r="A15" s="1" t="s">
        <v>81</v>
      </c>
      <c r="B15" s="1" t="str">
        <f aca="false">IF(  OR(ISNUMBER(SEARCH("SMOTEENN",A15)),ISNUMBER(SEARCH("SMOTETomek",A15))),  "Hybrid",  IF(   AND(    OR(ISNUMBER(SEARCH("SMOTE",A15)),ISNUMBER(SEARCH("SVMSMOTE",A15)),ISNUMBER(SEARCH("RandomOverSampler",A15)),ISNUMBER(SEARCH("BorderlineSmote",A15))),    OR(ISNUMBER(SEARCH("RandomUnderSampler",A15)),ISNUMBER(SEARCH("ClusterCentroids",A15)),ISNUMBER(SEARCH("OneSidedSelection",A15)))   ),   "Over+Under",   IF(    OR(ISNUMBER(SEARCH("SMOTE",A15)),ISNUMBER(SEARCH("SVMSMOTE",A15)),ISNUMBER(SEARCH("RandomOverSampler",A15)),ISNUMBER(SEARCH("BorderlineSmote",A15))),    "Oversampling",    IF(     OR(ISNUMBER(SEARCH("RandomUnderSampler",A15)),ISNUMBER(SEARCH("ClusterCentroids",A15)),ISNUMBER(SEARCH("OneSidedSelection",A15))),     "Undersampler",     "Czysty"    )   )  ) )</f>
        <v>Oversampling</v>
      </c>
      <c r="C15" s="1" t="s">
        <v>74</v>
      </c>
      <c r="D15" s="1" t="n">
        <v>0.8737</v>
      </c>
      <c r="E15" s="1" t="n">
        <v>0.6349</v>
      </c>
      <c r="F15" s="1" t="n">
        <v>0.6288</v>
      </c>
      <c r="G15" s="1" t="n">
        <v>0.6505</v>
      </c>
      <c r="I15" s="0" t="s">
        <v>74</v>
      </c>
      <c r="J15" s="1" t="n">
        <v>0.614</v>
      </c>
      <c r="K15" s="1" t="s">
        <v>79</v>
      </c>
    </row>
    <row r="16" customFormat="false" ht="13.8" hidden="false" customHeight="false" outlineLevel="0" collapsed="false">
      <c r="A16" s="1" t="s">
        <v>80</v>
      </c>
      <c r="B16" s="1" t="str">
        <f aca="false">IF(  OR(ISNUMBER(SEARCH("SMOTEENN",A16)),ISNUMBER(SEARCH("SMOTETomek",A16))),  "Hybrid",  IF(   AND(    OR(ISNUMBER(SEARCH("SMOTE",A16)),ISNUMBER(SEARCH("SVMSMOTE",A16)),ISNUMBER(SEARCH("RandomOverSampler",A16)),ISNUMBER(SEARCH("BorderlineSmote",A16))),    OR(ISNUMBER(SEARCH("RandomUnderSampler",A16)),ISNUMBER(SEARCH("ClusterCentroids",A16)),ISNUMBER(SEARCH("OneSidedSelection",A16)))   ),   "Over+Under",   IF(    OR(ISNUMBER(SEARCH("SMOTE",A16)),ISNUMBER(SEARCH("SVMSMOTE",A16)),ISNUMBER(SEARCH("RandomOverSampler",A16)),ISNUMBER(SEARCH("BorderlineSmote",A16))),    "Oversampling",    IF(     OR(ISNUMBER(SEARCH("RandomUnderSampler",A16)),ISNUMBER(SEARCH("ClusterCentroids",A16)),ISNUMBER(SEARCH("OneSidedSelection",A16))),     "Undersampler",     "Czysty"    )   )  ) )</f>
        <v>Hybrid</v>
      </c>
      <c r="C16" s="1" t="s">
        <v>74</v>
      </c>
      <c r="D16" s="1" t="n">
        <v>0.8737</v>
      </c>
      <c r="E16" s="1" t="n">
        <v>0.6343</v>
      </c>
      <c r="F16" s="1" t="n">
        <v>0.6297</v>
      </c>
      <c r="G16" s="1" t="n">
        <v>0.6488</v>
      </c>
    </row>
    <row r="17" customFormat="false" ht="13.8" hidden="false" customHeight="false" outlineLevel="0" collapsed="false">
      <c r="A17" s="1" t="s">
        <v>1</v>
      </c>
      <c r="B17" s="1" t="str">
        <f aca="false">IF(  OR(ISNUMBER(SEARCH("SMOTEENN",A17)),ISNUMBER(SEARCH("SMOTETomek",A17))),  "Hybrid",  IF(   AND(    OR(ISNUMBER(SEARCH("SMOTE",A17)),ISNUMBER(SEARCH("SVMSMOTE",A17)),ISNUMBER(SEARCH("RandomOverSampler",A17)),ISNUMBER(SEARCH("BorderlineSmote",A17))),    OR(ISNUMBER(SEARCH("RandomUnderSampler",A17)),ISNUMBER(SEARCH("ClusterCentroids",A17)),ISNUMBER(SEARCH("OneSidedSelection",A17)))   ),   "Over+Under",   IF(    OR(ISNUMBER(SEARCH("SMOTE",A17)),ISNUMBER(SEARCH("SVMSMOTE",A17)),ISNUMBER(SEARCH("RandomOverSampler",A17)),ISNUMBER(SEARCH("BorderlineSmote",A17))),    "Oversampling",    IF(     OR(ISNUMBER(SEARCH("RandomUnderSampler",A17)),ISNUMBER(SEARCH("ClusterCentroids",A17)),ISNUMBER(SEARCH("OneSidedSelection",A17))),     "Undersampler",     "Czysty"    )   )  ) )</f>
        <v>Czysty</v>
      </c>
      <c r="C17" s="1" t="s">
        <v>74</v>
      </c>
      <c r="D17" s="1" t="n">
        <v>0.8632</v>
      </c>
      <c r="E17" s="1" t="n">
        <v>0.6204</v>
      </c>
      <c r="F17" s="1" t="n">
        <v>0.6398</v>
      </c>
      <c r="G17" s="1" t="n">
        <v>0.6221</v>
      </c>
      <c r="I17" s="0" t="s">
        <v>26</v>
      </c>
      <c r="L17" s="3"/>
      <c r="M17" s="3"/>
      <c r="N17" s="3"/>
      <c r="O17" s="3"/>
    </row>
    <row r="18" customFormat="false" ht="13.8" hidden="false" customHeight="false" outlineLevel="0" collapsed="false">
      <c r="A18" s="1" t="s">
        <v>82</v>
      </c>
      <c r="B18" s="1" t="str">
        <f aca="false">IF(  OR(ISNUMBER(SEARCH("SMOTEENN",A18)),ISNUMBER(SEARCH("SMOTETomek",A18))),  "Hybrid",  IF(   AND(    OR(ISNUMBER(SEARCH("SMOTE",A18)),ISNUMBER(SEARCH("SVMSMOTE",A18)),ISNUMBER(SEARCH("RandomOverSampler",A18)),ISNUMBER(SEARCH("BorderlineSmote",A18))),    OR(ISNUMBER(SEARCH("RandomUnderSampler",A18)),ISNUMBER(SEARCH("ClusterCentroids",A18)),ISNUMBER(SEARCH("OneSidedSelection",A18)))   ),   "Over+Under",   IF(    OR(ISNUMBER(SEARCH("SMOTE",A18)),ISNUMBER(SEARCH("SVMSMOTE",A18)),ISNUMBER(SEARCH("RandomOverSampler",A18)),ISNUMBER(SEARCH("BorderlineSmote",A18))),    "Oversampling",    IF(     OR(ISNUMBER(SEARCH("RandomUnderSampler",A18)),ISNUMBER(SEARCH("ClusterCentroids",A18)),ISNUMBER(SEARCH("OneSidedSelection",A18))),     "Undersampler",     "Czysty"    )   )  ) )</f>
        <v>Over+Under</v>
      </c>
      <c r="C18" s="1" t="s">
        <v>74</v>
      </c>
      <c r="D18" s="1" t="n">
        <v>0.6877</v>
      </c>
      <c r="E18" s="1" t="n">
        <v>0.5167</v>
      </c>
      <c r="F18" s="1" t="n">
        <v>0.5233</v>
      </c>
      <c r="G18" s="1" t="n">
        <v>0.5448</v>
      </c>
      <c r="I18" s="0" t="s">
        <v>14</v>
      </c>
      <c r="J18" s="1" t="n">
        <v>0.5714</v>
      </c>
      <c r="K18" s="1" t="s">
        <v>79</v>
      </c>
    </row>
    <row r="19" customFormat="false" ht="13.8" hidden="false" customHeight="false" outlineLevel="0" collapsed="false">
      <c r="A19" s="1" t="s">
        <v>83</v>
      </c>
      <c r="B19" s="1" t="str">
        <f aca="false">IF(  OR(ISNUMBER(SEARCH("SMOTEENN",A19)),ISNUMBER(SEARCH("SMOTETomek",A19))),  "Hybrid",  IF(   AND(    OR(ISNUMBER(SEARCH("SMOTE",A19)),ISNUMBER(SEARCH("SVMSMOTE",A19)),ISNUMBER(SEARCH("RandomOverSampler",A19)),ISNUMBER(SEARCH("BorderlineSmote",A19))),    OR(ISNUMBER(SEARCH("RandomUnderSampler",A19)),ISNUMBER(SEARCH("ClusterCentroids",A19)),ISNUMBER(SEARCH("OneSidedSelection",A19)))   ),   "Over+Under",   IF(    OR(ISNUMBER(SEARCH("SMOTE",A19)),ISNUMBER(SEARCH("SVMSMOTE",A19)),ISNUMBER(SEARCH("RandomOverSampler",A19)),ISNUMBER(SEARCH("BorderlineSmote",A19))),    "Oversampling",    IF(     OR(ISNUMBER(SEARCH("RandomUnderSampler",A19)),ISNUMBER(SEARCH("ClusterCentroids",A19)),ISNUMBER(SEARCH("OneSidedSelection",A19))),     "Undersampler",     "Czysty"    )   )  ) )</f>
        <v>Over+Under</v>
      </c>
      <c r="C19" s="1" t="s">
        <v>74</v>
      </c>
      <c r="D19" s="1" t="n">
        <v>0.6649</v>
      </c>
      <c r="E19" s="1" t="n">
        <v>0.4877</v>
      </c>
      <c r="F19" s="1" t="n">
        <v>0.4778</v>
      </c>
      <c r="G19" s="1" t="n">
        <v>0.5174</v>
      </c>
      <c r="I19" s="0" t="s">
        <v>74</v>
      </c>
      <c r="J19" s="1" t="n">
        <v>0.4939</v>
      </c>
      <c r="K19" s="1" t="s">
        <v>81</v>
      </c>
    </row>
    <row r="20" customFormat="false" ht="13.8" hidden="false" customHeight="false" outlineLevel="0" collapsed="false">
      <c r="A20" s="1" t="s">
        <v>84</v>
      </c>
      <c r="B20" s="1" t="str">
        <f aca="false">IF(  OR(ISNUMBER(SEARCH("SMOTEENN",A20)),ISNUMBER(SEARCH("SMOTETomek",A20))),  "Hybrid",  IF(   AND(    OR(ISNUMBER(SEARCH("SMOTE",A20)),ISNUMBER(SEARCH("SVMSMOTE",A20)),ISNUMBER(SEARCH("RandomOverSampler",A20)),ISNUMBER(SEARCH("BorderlineSmote",A20))),    OR(ISNUMBER(SEARCH("RandomUnderSampler",A20)),ISNUMBER(SEARCH("ClusterCentroids",A20)),ISNUMBER(SEARCH("OneSidedSelection",A20)))   ),   "Over+Under",   IF(    OR(ISNUMBER(SEARCH("SMOTE",A20)),ISNUMBER(SEARCH("SVMSMOTE",A20)),ISNUMBER(SEARCH("RandomOverSampler",A20)),ISNUMBER(SEARCH("BorderlineSmote",A20))),    "Oversampling",    IF(     OR(ISNUMBER(SEARCH("RandomUnderSampler",A20)),ISNUMBER(SEARCH("ClusterCentroids",A20)),ISNUMBER(SEARCH("OneSidedSelection",A20))),     "Undersampler",     "Czysty"    )   )  ) )</f>
        <v>Over+Under</v>
      </c>
      <c r="C20" s="1" t="s">
        <v>74</v>
      </c>
      <c r="D20" s="1" t="n">
        <v>0.5807</v>
      </c>
      <c r="E20" s="1" t="n">
        <v>0.3714</v>
      </c>
      <c r="F20" s="1" t="n">
        <v>0.3503</v>
      </c>
      <c r="G20" s="1" t="n">
        <v>0.4286</v>
      </c>
      <c r="L20" s="3"/>
      <c r="M20" s="3"/>
      <c r="N20" s="3"/>
      <c r="O20" s="3"/>
    </row>
    <row r="21" customFormat="false" ht="13.8" hidden="false" customHeight="false" outlineLevel="0" collapsed="false">
      <c r="A21" s="1" t="s">
        <v>86</v>
      </c>
      <c r="B21" s="1" t="str">
        <f aca="false">IF(  OR(ISNUMBER(SEARCH("SMOTEENN",A21)),ISNUMBER(SEARCH("SMOTETomek",A21))),  "Hybrid",  IF(   AND(    OR(ISNUMBER(SEARCH("SMOTE",A21)),ISNUMBER(SEARCH("SVMSMOTE",A21)),ISNUMBER(SEARCH("RandomOverSampler",A21)),ISNUMBER(SEARCH("BorderlineSmote",A21))),    OR(ISNUMBER(SEARCH("RandomUnderSampler",A21)),ISNUMBER(SEARCH("ClusterCentroids",A21)),ISNUMBER(SEARCH("OneSidedSelection",A21)))   ),   "Over+Under",   IF(    OR(ISNUMBER(SEARCH("SMOTE",A21)),ISNUMBER(SEARCH("SVMSMOTE",A21)),ISNUMBER(SEARCH("RandomOverSampler",A21)),ISNUMBER(SEARCH("BorderlineSmote",A21))),    "Oversampling",    IF(     OR(ISNUMBER(SEARCH("RandomUnderSampler",A21)),ISNUMBER(SEARCH("ClusterCentroids",A21)),ISNUMBER(SEARCH("OneSidedSelection",A21))),     "Undersampler",     "Czysty"    )   )  ) )</f>
        <v>Over+Under</v>
      </c>
      <c r="C21" s="1" t="s">
        <v>74</v>
      </c>
      <c r="D21" s="1" t="n">
        <v>0.3982</v>
      </c>
      <c r="E21" s="1" t="n">
        <v>0.3299</v>
      </c>
      <c r="F21" s="1" t="n">
        <v>0.3833</v>
      </c>
      <c r="G21" s="1" t="n">
        <v>0.3903</v>
      </c>
    </row>
    <row r="22" customFormat="false" ht="13.8" hidden="false" customHeight="false" outlineLevel="0" collapsed="false">
      <c r="A22" s="1" t="s">
        <v>85</v>
      </c>
      <c r="B22" s="1" t="str">
        <f aca="false">IF(  OR(ISNUMBER(SEARCH("SMOTEENN",A22)),ISNUMBER(SEARCH("SMOTETomek",A22))),  "Hybrid",  IF(   AND(    OR(ISNUMBER(SEARCH("SMOTE",A22)),ISNUMBER(SEARCH("SVMSMOTE",A22)),ISNUMBER(SEARCH("RandomOverSampler",A22)),ISNUMBER(SEARCH("BorderlineSmote",A22))),    OR(ISNUMBER(SEARCH("RandomUnderSampler",A22)),ISNUMBER(SEARCH("ClusterCentroids",A22)),ISNUMBER(SEARCH("OneSidedSelection",A22)))   ),   "Over+Under",   IF(    OR(ISNUMBER(SEARCH("SMOTE",A22)),ISNUMBER(SEARCH("SVMSMOTE",A22)),ISNUMBER(SEARCH("RandomOverSampler",A22)),ISNUMBER(SEARCH("BorderlineSmote",A22))),    "Oversampling",    IF(     OR(ISNUMBER(SEARCH("RandomUnderSampler",A22)),ISNUMBER(SEARCH("ClusterCentroids",A22)),ISNUMBER(SEARCH("OneSidedSelection",A22))),     "Undersampler",     "Czysty"    )   )  ) )</f>
        <v>Over+Under</v>
      </c>
      <c r="C22" s="1" t="s">
        <v>74</v>
      </c>
      <c r="D22" s="1" t="n">
        <v>0.3018</v>
      </c>
      <c r="E22" s="1" t="n">
        <v>0.269</v>
      </c>
      <c r="F22" s="1" t="n">
        <v>0.3264</v>
      </c>
      <c r="G22" s="1" t="n">
        <v>0.3362</v>
      </c>
    </row>
    <row r="23" customFormat="false" ht="13.8" hidden="false" customHeight="false" outlineLevel="0" collapsed="false">
      <c r="A23" s="1" t="s">
        <v>87</v>
      </c>
      <c r="B23" s="1" t="str">
        <f aca="false">IF(  OR(ISNUMBER(SEARCH("SMOTEENN",A23)),ISNUMBER(SEARCH("SMOTETomek",A23))),  "Hybrid",  IF(   AND(    OR(ISNUMBER(SEARCH("SMOTE",A23)),ISNUMBER(SEARCH("SVMSMOTE",A23)),ISNUMBER(SEARCH("RandomOverSampler",A23)),ISNUMBER(SEARCH("BorderlineSmote",A23))),    OR(ISNUMBER(SEARCH("RandomUnderSampler",A23)),ISNUMBER(SEARCH("ClusterCentroids",A23)),ISNUMBER(SEARCH("OneSidedSelection",A23)))   ),   "Over+Under",   IF(    OR(ISNUMBER(SEARCH("SMOTE",A23)),ISNUMBER(SEARCH("SVMSMOTE",A23)),ISNUMBER(SEARCH("RandomOverSampler",A23)),ISNUMBER(SEARCH("BorderlineSmote",A23))),    "Oversampling",    IF(     OR(ISNUMBER(SEARCH("RandomUnderSampler",A23)),ISNUMBER(SEARCH("ClusterCentroids",A23)),ISNUMBER(SEARCH("OneSidedSelection",A23))),     "Undersampler",     "Czysty"    )   )  ) )</f>
        <v>Hybrid</v>
      </c>
      <c r="C23" s="1" t="s">
        <v>74</v>
      </c>
      <c r="D23" s="1" t="n">
        <v>0.2263</v>
      </c>
      <c r="E23" s="1" t="n">
        <v>0.1625</v>
      </c>
      <c r="F23" s="1" t="n">
        <v>0.1637</v>
      </c>
      <c r="G23" s="1" t="n">
        <v>0.2763</v>
      </c>
    </row>
    <row r="25" customFormat="false" ht="13.8" hidden="false" customHeight="false" outlineLevel="0" collapsed="false">
      <c r="A25" s="3" t="s">
        <v>17</v>
      </c>
      <c r="B25" s="3"/>
      <c r="C25" s="3"/>
      <c r="D25" s="3"/>
      <c r="E25" s="3"/>
      <c r="F25" s="3"/>
      <c r="G25" s="3"/>
    </row>
    <row r="26" customFormat="false" ht="13.8" hidden="false" customHeight="false" outlineLevel="0" collapsed="false">
      <c r="A26" s="1" t="s">
        <v>80</v>
      </c>
      <c r="B26" s="1" t="str">
        <f aca="false">IF(  OR(ISNUMBER(SEARCH("SMOTEENN",A26)),ISNUMBER(SEARCH("SMOTETomek",A26))),  "Hybrid",  IF(   AND(    OR(ISNUMBER(SEARCH("SMOTE",A26)),ISNUMBER(SEARCH("SVMSMOTE",A26)),ISNUMBER(SEARCH("RandomOverSampler",A26)),ISNUMBER(SEARCH("BorderlineSmote",A26))),    OR(ISNUMBER(SEARCH("RandomUnderSampler",A26)),ISNUMBER(SEARCH("ClusterCentroids",A26)),ISNUMBER(SEARCH("OneSidedSelection",A26)))   ),   "Over+Under",   IF(    OR(ISNUMBER(SEARCH("SMOTE",A26)),ISNUMBER(SEARCH("SVMSMOTE",A26)),ISNUMBER(SEARCH("RandomOverSampler",A26)),ISNUMBER(SEARCH("BorderlineSmote",A26))),    "Oversampling",    IF(     OR(ISNUMBER(SEARCH("RandomUnderSampler",A26)),ISNUMBER(SEARCH("ClusterCentroids",A26)),ISNUMBER(SEARCH("OneSidedSelection",A26))),     "Undersampler",     "Czysty"    )   )  ) )</f>
        <v>Hybrid</v>
      </c>
      <c r="C26" s="1" t="s">
        <v>14</v>
      </c>
      <c r="D26" s="1" t="n">
        <v>0.8158</v>
      </c>
      <c r="E26" s="1" t="n">
        <v>0.7032</v>
      </c>
      <c r="F26" s="1" t="n">
        <v>0.7213</v>
      </c>
      <c r="G26" s="1" t="n">
        <v>0.7064</v>
      </c>
    </row>
    <row r="27" customFormat="false" ht="13.8" hidden="false" customHeight="false" outlineLevel="0" collapsed="false">
      <c r="A27" s="1" t="s">
        <v>81</v>
      </c>
      <c r="B27" s="1" t="str">
        <f aca="false">IF(  OR(ISNUMBER(SEARCH("SMOTEENN",A27)),ISNUMBER(SEARCH("SMOTETomek",A27))),  "Hybrid",  IF(   AND(    OR(ISNUMBER(SEARCH("SMOTE",A27)),ISNUMBER(SEARCH("SVMSMOTE",A27)),ISNUMBER(SEARCH("RandomOverSampler",A27)),ISNUMBER(SEARCH("BorderlineSmote",A27))),    OR(ISNUMBER(SEARCH("RandomUnderSampler",A27)),ISNUMBER(SEARCH("ClusterCentroids",A27)),ISNUMBER(SEARCH("OneSidedSelection",A27)))   ),   "Over+Under",   IF(    OR(ISNUMBER(SEARCH("SMOTE",A27)),ISNUMBER(SEARCH("SVMSMOTE",A27)),ISNUMBER(SEARCH("RandomOverSampler",A27)),ISNUMBER(SEARCH("BorderlineSmote",A27))),    "Oversampling",    IF(     OR(ISNUMBER(SEARCH("RandomUnderSampler",A27)),ISNUMBER(SEARCH("ClusterCentroids",A27)),ISNUMBER(SEARCH("OneSidedSelection",A27))),     "Undersampler",     "Czysty"    )   )  ) )</f>
        <v>Oversampling</v>
      </c>
      <c r="C27" s="1" t="s">
        <v>14</v>
      </c>
      <c r="D27" s="1" t="n">
        <v>0.8228</v>
      </c>
      <c r="E27" s="1" t="n">
        <v>0.6759</v>
      </c>
      <c r="F27" s="1" t="n">
        <v>0.6787</v>
      </c>
      <c r="G27" s="1" t="n">
        <v>0.686</v>
      </c>
    </row>
    <row r="28" customFormat="false" ht="13.8" hidden="false" customHeight="false" outlineLevel="0" collapsed="false">
      <c r="A28" s="1" t="s">
        <v>79</v>
      </c>
      <c r="B28" s="1" t="str">
        <f aca="false">IF(  OR(ISNUMBER(SEARCH("SMOTEENN",A28)),ISNUMBER(SEARCH("SMOTETomek",A28))),  "Hybrid",  IF(   AND(    OR(ISNUMBER(SEARCH("SMOTE",A28)),ISNUMBER(SEARCH("SVMSMOTE",A28)),ISNUMBER(SEARCH("RandomOverSampler",A28)),ISNUMBER(SEARCH("BorderlineSmote",A28))),    OR(ISNUMBER(SEARCH("RandomUnderSampler",A28)),ISNUMBER(SEARCH("ClusterCentroids",A28)),ISNUMBER(SEARCH("OneSidedSelection",A28)))   ),   "Over+Under",   IF(    OR(ISNUMBER(SEARCH("SMOTE",A28)),ISNUMBER(SEARCH("SVMSMOTE",A28)),ISNUMBER(SEARCH("RandomOverSampler",A28)),ISNUMBER(SEARCH("BorderlineSmote",A28))),    "Oversampling",    IF(     OR(ISNUMBER(SEARCH("RandomUnderSampler",A28)),ISNUMBER(SEARCH("ClusterCentroids",A28)),ISNUMBER(SEARCH("OneSidedSelection",A28))),     "Undersampler",     "Czysty"    )   )  ) )</f>
        <v>Oversampling</v>
      </c>
      <c r="C28" s="1" t="s">
        <v>14</v>
      </c>
      <c r="D28" s="1" t="n">
        <v>0.8123</v>
      </c>
      <c r="E28" s="1" t="n">
        <v>0.622</v>
      </c>
      <c r="F28" s="1" t="n">
        <v>0.6242</v>
      </c>
      <c r="G28" s="1" t="n">
        <v>0.6306</v>
      </c>
    </row>
    <row r="29" customFormat="false" ht="13.8" hidden="false" customHeight="false" outlineLevel="0" collapsed="false">
      <c r="A29" s="1" t="s">
        <v>17</v>
      </c>
      <c r="B29" s="1" t="str">
        <f aca="false">IF(  OR(ISNUMBER(SEARCH("SMOTEENN",A29)),ISNUMBER(SEARCH("SMOTETomek",A29))),  "Hybrid",  IF(   AND(    OR(ISNUMBER(SEARCH("SMOTE",A29)),ISNUMBER(SEARCH("SVMSMOTE",A29)),ISNUMBER(SEARCH("RandomOverSampler",A29)),ISNUMBER(SEARCH("BorderlineSmote",A29))),    OR(ISNUMBER(SEARCH("RandomUnderSampler",A29)),ISNUMBER(SEARCH("ClusterCentroids",A29)),ISNUMBER(SEARCH("OneSidedSelection",A29)))   ),   "Over+Under",   IF(    OR(ISNUMBER(SEARCH("SMOTE",A29)),ISNUMBER(SEARCH("SVMSMOTE",A29)),ISNUMBER(SEARCH("RandomOverSampler",A29)),ISNUMBER(SEARCH("BorderlineSmote",A29))),    "Oversampling",    IF(     OR(ISNUMBER(SEARCH("RandomUnderSampler",A29)),ISNUMBER(SEARCH("ClusterCentroids",A29)),ISNUMBER(SEARCH("OneSidedSelection",A29))),     "Undersampler",     "Czysty"    )   )  ) )</f>
        <v>Czysty</v>
      </c>
      <c r="C29" s="1" t="s">
        <v>14</v>
      </c>
      <c r="D29" s="1" t="n">
        <v>0.8351</v>
      </c>
      <c r="E29" s="1" t="n">
        <v>0.5996</v>
      </c>
      <c r="F29" s="1" t="n">
        <v>0.6068</v>
      </c>
      <c r="G29" s="1" t="n">
        <v>0.6077</v>
      </c>
    </row>
    <row r="30" customFormat="false" ht="13.8" hidden="false" customHeight="false" outlineLevel="0" collapsed="false">
      <c r="A30" s="1" t="s">
        <v>84</v>
      </c>
      <c r="B30" s="1" t="str">
        <f aca="false">IF(  OR(ISNUMBER(SEARCH("SMOTEENN",A30)),ISNUMBER(SEARCH("SMOTETomek",A30))),  "Hybrid",  IF(   AND(    OR(ISNUMBER(SEARCH("SMOTE",A30)),ISNUMBER(SEARCH("SVMSMOTE",A30)),ISNUMBER(SEARCH("RandomOverSampler",A30)),ISNUMBER(SEARCH("BorderlineSmote",A30))),    OR(ISNUMBER(SEARCH("RandomUnderSampler",A30)),ISNUMBER(SEARCH("ClusterCentroids",A30)),ISNUMBER(SEARCH("OneSidedSelection",A30)))   ),   "Over+Under",   IF(    OR(ISNUMBER(SEARCH("SMOTE",A30)),ISNUMBER(SEARCH("SVMSMOTE",A30)),ISNUMBER(SEARCH("RandomOverSampler",A30)),ISNUMBER(SEARCH("BorderlineSmote",A30))),    "Oversampling",    IF(     OR(ISNUMBER(SEARCH("RandomUnderSampler",A30)),ISNUMBER(SEARCH("ClusterCentroids",A30)),ISNUMBER(SEARCH("OneSidedSelection",A30))),     "Undersampler",     "Czysty"    )   )  ) )</f>
        <v>Over+Under</v>
      </c>
      <c r="C30" s="1" t="s">
        <v>14</v>
      </c>
      <c r="D30" s="1" t="n">
        <v>0.6316</v>
      </c>
      <c r="E30" s="1" t="n">
        <v>0.4856</v>
      </c>
      <c r="F30" s="1" t="n">
        <v>0.5143</v>
      </c>
      <c r="G30" s="1" t="n">
        <v>0.4969</v>
      </c>
    </row>
    <row r="31" customFormat="false" ht="13.8" hidden="false" customHeight="false" outlineLevel="0" collapsed="false">
      <c r="A31" s="1" t="s">
        <v>88</v>
      </c>
      <c r="B31" s="1" t="str">
        <f aca="false">IF(  OR(ISNUMBER(SEARCH("SMOTEENN",A31)),ISNUMBER(SEARCH("SMOTETomek",A31))),  "Hybrid",  IF(   AND(    OR(ISNUMBER(SEARCH("SMOTE",A31)),ISNUMBER(SEARCH("SVMSMOTE",A31)),ISNUMBER(SEARCH("RandomOverSampler",A31)),ISNUMBER(SEARCH("BorderlineSmote",A31))),    OR(ISNUMBER(SEARCH("RandomUnderSampler",A31)),ISNUMBER(SEARCH("ClusterCentroids",A31)),ISNUMBER(SEARCH("OneSidedSelection",A31)))   ),   "Over+Under",   IF(    OR(ISNUMBER(SEARCH("SMOTE",A31)),ISNUMBER(SEARCH("SVMSMOTE",A31)),ISNUMBER(SEARCH("RandomOverSampler",A31)),ISNUMBER(SEARCH("BorderlineSmote",A31))),    "Oversampling",    IF(     OR(ISNUMBER(SEARCH("RandomUnderSampler",A31)),ISNUMBER(SEARCH("ClusterCentroids",A31)),ISNUMBER(SEARCH("OneSidedSelection",A31))),     "Undersampler",     "Czysty"    )   )  ) )</f>
        <v>Over+Under</v>
      </c>
      <c r="C31" s="1" t="s">
        <v>14</v>
      </c>
      <c r="D31" s="1" t="n">
        <v>0.5719</v>
      </c>
      <c r="E31" s="1" t="n">
        <v>0.3948</v>
      </c>
      <c r="F31" s="1" t="n">
        <v>0.3993</v>
      </c>
      <c r="G31" s="1" t="n">
        <v>0.4269</v>
      </c>
    </row>
    <row r="32" customFormat="false" ht="13.8" hidden="false" customHeight="false" outlineLevel="0" collapsed="false">
      <c r="A32" s="1" t="s">
        <v>87</v>
      </c>
      <c r="B32" s="1" t="str">
        <f aca="false">IF(  OR(ISNUMBER(SEARCH("SMOTEENN",A32)),ISNUMBER(SEARCH("SMOTETomek",A32))),  "Hybrid",  IF(   AND(    OR(ISNUMBER(SEARCH("SMOTE",A32)),ISNUMBER(SEARCH("SVMSMOTE",A32)),ISNUMBER(SEARCH("RandomOverSampler",A32)),ISNUMBER(SEARCH("BorderlineSmote",A32))),    OR(ISNUMBER(SEARCH("RandomUnderSampler",A32)),ISNUMBER(SEARCH("ClusterCentroids",A32)),ISNUMBER(SEARCH("OneSidedSelection",A32)))   ),   "Over+Under",   IF(    OR(ISNUMBER(SEARCH("SMOTE",A32)),ISNUMBER(SEARCH("SVMSMOTE",A32)),ISNUMBER(SEARCH("RandomOverSampler",A32)),ISNUMBER(SEARCH("BorderlineSmote",A32))),    "Oversampling",    IF(     OR(ISNUMBER(SEARCH("RandomUnderSampler",A32)),ISNUMBER(SEARCH("ClusterCentroids",A32)),ISNUMBER(SEARCH("OneSidedSelection",A32))),     "Undersampler",     "Czysty"    )   )  ) )</f>
        <v>Hybrid</v>
      </c>
      <c r="C32" s="1" t="s">
        <v>14</v>
      </c>
      <c r="D32" s="1" t="n">
        <v>0.1895</v>
      </c>
      <c r="E32" s="1" t="n">
        <v>0.1014</v>
      </c>
      <c r="F32" s="1" t="n">
        <v>0.072</v>
      </c>
      <c r="G32" s="1" t="n">
        <v>0.2016</v>
      </c>
    </row>
    <row r="33" customFormat="false" ht="13.8" hidden="false" customHeight="false" outlineLevel="0" collapsed="false">
      <c r="A33" s="1" t="s">
        <v>83</v>
      </c>
      <c r="B33" s="1" t="str">
        <f aca="false">IF(  OR(ISNUMBER(SEARCH("SMOTEENN",A33)),ISNUMBER(SEARCH("SMOTETomek",A33))),  "Hybrid",  IF(   AND(    OR(ISNUMBER(SEARCH("SMOTE",A33)),ISNUMBER(SEARCH("SVMSMOTE",A33)),ISNUMBER(SEARCH("RandomOverSampler",A33)),ISNUMBER(SEARCH("BorderlineSmote",A33))),    OR(ISNUMBER(SEARCH("RandomUnderSampler",A33)),ISNUMBER(SEARCH("ClusterCentroids",A33)),ISNUMBER(SEARCH("OneSidedSelection",A33)))   ),   "Over+Under",   IF(    OR(ISNUMBER(SEARCH("SMOTE",A33)),ISNUMBER(SEARCH("SVMSMOTE",A33)),ISNUMBER(SEARCH("RandomOverSampler",A33)),ISNUMBER(SEARCH("BorderlineSmote",A33))),    "Oversampling",    IF(     OR(ISNUMBER(SEARCH("RandomUnderSampler",A33)),ISNUMBER(SEARCH("ClusterCentroids",A33)),ISNUMBER(SEARCH("OneSidedSelection",A33))),     "Undersampler",     "Czysty"    )   )  ) )</f>
        <v>Over+Under</v>
      </c>
      <c r="C33" s="1" t="s">
        <v>14</v>
      </c>
      <c r="D33" s="1" t="n">
        <v>0.0263</v>
      </c>
      <c r="E33" s="1" t="n">
        <v>0.0073</v>
      </c>
      <c r="F33" s="1" t="n">
        <v>0.0038</v>
      </c>
      <c r="G33" s="1" t="n">
        <v>0.1429</v>
      </c>
    </row>
    <row r="34" customFormat="false" ht="13.8" hidden="false" customHeight="false" outlineLevel="0" collapsed="false">
      <c r="A34" s="1" t="s">
        <v>85</v>
      </c>
      <c r="B34" s="1" t="str">
        <f aca="false">IF(  OR(ISNUMBER(SEARCH("SMOTEENN",A34)),ISNUMBER(SEARCH("SMOTETomek",A34))),  "Hybrid",  IF(   AND(    OR(ISNUMBER(SEARCH("SMOTE",A34)),ISNUMBER(SEARCH("SVMSMOTE",A34)),ISNUMBER(SEARCH("RandomOverSampler",A34)),ISNUMBER(SEARCH("BorderlineSmote",A34))),    OR(ISNUMBER(SEARCH("RandomUnderSampler",A34)),ISNUMBER(SEARCH("ClusterCentroids",A34)),ISNUMBER(SEARCH("OneSidedSelection",A34)))   ),   "Over+Under",   IF(    OR(ISNUMBER(SEARCH("SMOTE",A34)),ISNUMBER(SEARCH("SVMSMOTE",A34)),ISNUMBER(SEARCH("RandomOverSampler",A34)),ISNUMBER(SEARCH("BorderlineSmote",A34))),    "Oversampling",    IF(     OR(ISNUMBER(SEARCH("RandomUnderSampler",A34)),ISNUMBER(SEARCH("ClusterCentroids",A34)),ISNUMBER(SEARCH("OneSidedSelection",A34))),     "Undersampler",     "Czysty"    )   )  ) )</f>
        <v>Over+Under</v>
      </c>
      <c r="C34" s="1" t="s">
        <v>14</v>
      </c>
      <c r="D34" s="1" t="n">
        <v>0.0263</v>
      </c>
      <c r="E34" s="1" t="n">
        <v>0.0073</v>
      </c>
      <c r="F34" s="1" t="n">
        <v>0.0038</v>
      </c>
      <c r="G34" s="1" t="n">
        <v>0.1429</v>
      </c>
    </row>
    <row r="35" customFormat="false" ht="13.8" hidden="false" customHeight="false" outlineLevel="0" collapsed="false">
      <c r="A35" s="1" t="s">
        <v>82</v>
      </c>
      <c r="B35" s="1" t="str">
        <f aca="false">IF(  OR(ISNUMBER(SEARCH("SMOTEENN",A35)),ISNUMBER(SEARCH("SMOTETomek",A35))),  "Hybrid",  IF(   AND(    OR(ISNUMBER(SEARCH("SMOTE",A35)),ISNUMBER(SEARCH("SVMSMOTE",A35)),ISNUMBER(SEARCH("RandomOverSampler",A35)),ISNUMBER(SEARCH("BorderlineSmote",A35))),    OR(ISNUMBER(SEARCH("RandomUnderSampler",A35)),ISNUMBER(SEARCH("ClusterCentroids",A35)),ISNUMBER(SEARCH("OneSidedSelection",A35)))   ),   "Over+Under",   IF(    OR(ISNUMBER(SEARCH("SMOTE",A35)),ISNUMBER(SEARCH("SVMSMOTE",A35)),ISNUMBER(SEARCH("RandomOverSampler",A35)),ISNUMBER(SEARCH("BorderlineSmote",A35))),    "Oversampling",    IF(     OR(ISNUMBER(SEARCH("RandomUnderSampler",A35)),ISNUMBER(SEARCH("ClusterCentroids",A35)),ISNUMBER(SEARCH("OneSidedSelection",A35))),     "Undersampler",     "Czysty"    )   )  ) )</f>
        <v>Over+Under</v>
      </c>
      <c r="C35" s="1" t="s">
        <v>14</v>
      </c>
      <c r="D35" s="1" t="n">
        <v>0.0263</v>
      </c>
      <c r="E35" s="1" t="n">
        <v>0.0073</v>
      </c>
      <c r="F35" s="1" t="n">
        <v>0.0038</v>
      </c>
      <c r="G35" s="1" t="n">
        <v>0.1429</v>
      </c>
    </row>
    <row r="36" customFormat="false" ht="13.8" hidden="false" customHeight="false" outlineLevel="0" collapsed="false">
      <c r="A36" s="1" t="s">
        <v>86</v>
      </c>
      <c r="B36" s="1" t="str">
        <f aca="false">IF(  OR(ISNUMBER(SEARCH("SMOTEENN",A36)),ISNUMBER(SEARCH("SMOTETomek",A36))),  "Hybrid",  IF(   AND(    OR(ISNUMBER(SEARCH("SMOTE",A36)),ISNUMBER(SEARCH("SVMSMOTE",A36)),ISNUMBER(SEARCH("RandomOverSampler",A36)),ISNUMBER(SEARCH("BorderlineSmote",A36))),    OR(ISNUMBER(SEARCH("RandomUnderSampler",A36)),ISNUMBER(SEARCH("ClusterCentroids",A36)),ISNUMBER(SEARCH("OneSidedSelection",A36)))   ),   "Over+Under",   IF(    OR(ISNUMBER(SEARCH("SMOTE",A36)),ISNUMBER(SEARCH("SVMSMOTE",A36)),ISNUMBER(SEARCH("RandomOverSampler",A36)),ISNUMBER(SEARCH("BorderlineSmote",A36))),    "Oversampling",    IF(     OR(ISNUMBER(SEARCH("RandomUnderSampler",A36)),ISNUMBER(SEARCH("ClusterCentroids",A36)),ISNUMBER(SEARCH("OneSidedSelection",A36))),     "Undersampler",     "Czysty"    )   )  ) )</f>
        <v>Over+Under</v>
      </c>
      <c r="C36" s="1" t="s">
        <v>14</v>
      </c>
      <c r="D36" s="1" t="n">
        <v>0.0263</v>
      </c>
      <c r="E36" s="1" t="n">
        <v>0.0073</v>
      </c>
      <c r="F36" s="1" t="n">
        <v>0.0038</v>
      </c>
      <c r="G36" s="1" t="n">
        <v>0.1429</v>
      </c>
    </row>
    <row r="37" customFormat="false" ht="13.8" hidden="false" customHeight="false" outlineLevel="0" collapsed="false">
      <c r="A37" s="1" t="s">
        <v>80</v>
      </c>
      <c r="B37" s="1" t="str">
        <f aca="false">IF(  OR(ISNUMBER(SEARCH("SMOTEENN",A37)),ISNUMBER(SEARCH("SMOTETomek",A37))),  "Hybrid",  IF(   AND(    OR(ISNUMBER(SEARCH("SMOTE",A37)),ISNUMBER(SEARCH("SVMSMOTE",A37)),ISNUMBER(SEARCH("RandomOverSampler",A37)),ISNUMBER(SEARCH("BorderlineSmote",A37))),    OR(ISNUMBER(SEARCH("RandomUnderSampler",A37)),ISNUMBER(SEARCH("ClusterCentroids",A37)),ISNUMBER(SEARCH("OneSidedSelection",A37)))   ),   "Over+Under",   IF(    OR(ISNUMBER(SEARCH("SMOTE",A37)),ISNUMBER(SEARCH("SVMSMOTE",A37)),ISNUMBER(SEARCH("RandomOverSampler",A37)),ISNUMBER(SEARCH("BorderlineSmote",A37))),    "Oversampling",    IF(     OR(ISNUMBER(SEARCH("RandomUnderSampler",A37)),ISNUMBER(SEARCH("ClusterCentroids",A37)),ISNUMBER(SEARCH("OneSidedSelection",A37))),     "Undersampler",     "Czysty"    )   )  ) )</f>
        <v>Hybrid</v>
      </c>
      <c r="C37" s="1" t="s">
        <v>74</v>
      </c>
      <c r="D37" s="1" t="n">
        <v>0.8175</v>
      </c>
      <c r="E37" s="1" t="n">
        <v>0.6887</v>
      </c>
      <c r="F37" s="1" t="n">
        <v>0.7047</v>
      </c>
      <c r="G37" s="1" t="n">
        <v>0.6909</v>
      </c>
    </row>
    <row r="38" customFormat="false" ht="13.8" hidden="false" customHeight="false" outlineLevel="0" collapsed="false">
      <c r="A38" s="1" t="s">
        <v>81</v>
      </c>
      <c r="B38" s="1" t="str">
        <f aca="false">IF(  OR(ISNUMBER(SEARCH("SMOTEENN",A38)),ISNUMBER(SEARCH("SMOTETomek",A38))),  "Hybrid",  IF(   AND(    OR(ISNUMBER(SEARCH("SMOTE",A38)),ISNUMBER(SEARCH("SVMSMOTE",A38)),ISNUMBER(SEARCH("RandomOverSampler",A38)),ISNUMBER(SEARCH("BorderlineSmote",A38))),    OR(ISNUMBER(SEARCH("RandomUnderSampler",A38)),ISNUMBER(SEARCH("ClusterCentroids",A38)),ISNUMBER(SEARCH("OneSidedSelection",A38)))   ),   "Over+Under",   IF(    OR(ISNUMBER(SEARCH("SMOTE",A38)),ISNUMBER(SEARCH("SVMSMOTE",A38)),ISNUMBER(SEARCH("RandomOverSampler",A38)),ISNUMBER(SEARCH("BorderlineSmote",A38))),    "Oversampling",    IF(     OR(ISNUMBER(SEARCH("RandomUnderSampler",A38)),ISNUMBER(SEARCH("ClusterCentroids",A38)),ISNUMBER(SEARCH("OneSidedSelection",A38))),     "Undersampler",     "Czysty"    )   )  ) )</f>
        <v>Oversampling</v>
      </c>
      <c r="C38" s="1" t="s">
        <v>74</v>
      </c>
      <c r="D38" s="1" t="n">
        <v>0.786</v>
      </c>
      <c r="E38" s="1" t="n">
        <v>0.6351</v>
      </c>
      <c r="F38" s="1" t="n">
        <v>0.6354</v>
      </c>
      <c r="G38" s="1" t="n">
        <v>0.6474</v>
      </c>
    </row>
    <row r="39" customFormat="false" ht="13.8" hidden="false" customHeight="false" outlineLevel="0" collapsed="false">
      <c r="A39" s="1" t="s">
        <v>17</v>
      </c>
      <c r="B39" s="1" t="str">
        <f aca="false">IF(  OR(ISNUMBER(SEARCH("SMOTEENN",A39)),ISNUMBER(SEARCH("SMOTETomek",A39))),  "Hybrid",  IF(   AND(    OR(ISNUMBER(SEARCH("SMOTE",A39)),ISNUMBER(SEARCH("SVMSMOTE",A39)),ISNUMBER(SEARCH("RandomOverSampler",A39)),ISNUMBER(SEARCH("BorderlineSmote",A39))),    OR(ISNUMBER(SEARCH("RandomUnderSampler",A39)),ISNUMBER(SEARCH("ClusterCentroids",A39)),ISNUMBER(SEARCH("OneSidedSelection",A39)))   ),   "Over+Under",   IF(    OR(ISNUMBER(SEARCH("SMOTE",A39)),ISNUMBER(SEARCH("SVMSMOTE",A39)),ISNUMBER(SEARCH("RandomOverSampler",A39)),ISNUMBER(SEARCH("BorderlineSmote",A39))),    "Oversampling",    IF(     OR(ISNUMBER(SEARCH("RandomUnderSampler",A39)),ISNUMBER(SEARCH("ClusterCentroids",A39)),ISNUMBER(SEARCH("OneSidedSelection",A39))),     "Undersampler",     "Czysty"    )   )  ) )</f>
        <v>Czysty</v>
      </c>
      <c r="C39" s="1" t="s">
        <v>74</v>
      </c>
      <c r="D39" s="1" t="n">
        <v>0.8333</v>
      </c>
      <c r="E39" s="1" t="n">
        <v>0.6265</v>
      </c>
      <c r="F39" s="1" t="n">
        <v>0.6384</v>
      </c>
      <c r="G39" s="1" t="n">
        <v>0.6282</v>
      </c>
    </row>
    <row r="40" customFormat="false" ht="13.8" hidden="false" customHeight="false" outlineLevel="0" collapsed="false">
      <c r="A40" s="1" t="s">
        <v>79</v>
      </c>
      <c r="B40" s="1" t="str">
        <f aca="false">IF(  OR(ISNUMBER(SEARCH("SMOTEENN",A40)),ISNUMBER(SEARCH("SMOTETomek",A40))),  "Hybrid",  IF(   AND(    OR(ISNUMBER(SEARCH("SMOTE",A40)),ISNUMBER(SEARCH("SVMSMOTE",A40)),ISNUMBER(SEARCH("RandomOverSampler",A40)),ISNUMBER(SEARCH("BorderlineSmote",A40))),    OR(ISNUMBER(SEARCH("RandomUnderSampler",A40)),ISNUMBER(SEARCH("ClusterCentroids",A40)),ISNUMBER(SEARCH("OneSidedSelection",A40)))   ),   "Over+Under",   IF(    OR(ISNUMBER(SEARCH("SMOTE",A40)),ISNUMBER(SEARCH("SVMSMOTE",A40)),ISNUMBER(SEARCH("RandomOverSampler",A40)),ISNUMBER(SEARCH("BorderlineSmote",A40))),    "Oversampling",    IF(     OR(ISNUMBER(SEARCH("RandomUnderSampler",A40)),ISNUMBER(SEARCH("ClusterCentroids",A40)),ISNUMBER(SEARCH("OneSidedSelection",A40))),     "Undersampler",     "Czysty"    )   )  ) )</f>
        <v>Oversampling</v>
      </c>
      <c r="C40" s="1" t="s">
        <v>74</v>
      </c>
      <c r="D40" s="1" t="n">
        <v>0.7982</v>
      </c>
      <c r="E40" s="1" t="n">
        <v>0.5896</v>
      </c>
      <c r="F40" s="1" t="n">
        <v>0.5905</v>
      </c>
      <c r="G40" s="1" t="n">
        <v>0.6001</v>
      </c>
    </row>
    <row r="41" customFormat="false" ht="13.8" hidden="false" customHeight="false" outlineLevel="0" collapsed="false">
      <c r="A41" s="1" t="s">
        <v>84</v>
      </c>
      <c r="B41" s="1" t="str">
        <f aca="false">IF(  OR(ISNUMBER(SEARCH("SMOTEENN",A41)),ISNUMBER(SEARCH("SMOTETomek",A41))),  "Hybrid",  IF(   AND(    OR(ISNUMBER(SEARCH("SMOTE",A41)),ISNUMBER(SEARCH("SVMSMOTE",A41)),ISNUMBER(SEARCH("RandomOverSampler",A41)),ISNUMBER(SEARCH("BorderlineSmote",A41))),    OR(ISNUMBER(SEARCH("RandomUnderSampler",A41)),ISNUMBER(SEARCH("ClusterCentroids",A41)),ISNUMBER(SEARCH("OneSidedSelection",A41)))   ),   "Over+Under",   IF(    OR(ISNUMBER(SEARCH("SMOTE",A41)),ISNUMBER(SEARCH("SVMSMOTE",A41)),ISNUMBER(SEARCH("RandomOverSampler",A41)),ISNUMBER(SEARCH("BorderlineSmote",A41))),    "Oversampling",    IF(     OR(ISNUMBER(SEARCH("RandomUnderSampler",A41)),ISNUMBER(SEARCH("ClusterCentroids",A41)),ISNUMBER(SEARCH("OneSidedSelection",A41))),     "Undersampler",     "Czysty"    )   )  ) )</f>
        <v>Over+Under</v>
      </c>
      <c r="C41" s="1" t="s">
        <v>74</v>
      </c>
      <c r="D41" s="1" t="n">
        <v>0.5895</v>
      </c>
      <c r="E41" s="1" t="n">
        <v>0.4477</v>
      </c>
      <c r="F41" s="1" t="n">
        <v>0.4975</v>
      </c>
      <c r="G41" s="1" t="n">
        <v>0.4643</v>
      </c>
    </row>
    <row r="42" customFormat="false" ht="13.8" hidden="false" customHeight="false" outlineLevel="0" collapsed="false">
      <c r="A42" s="1" t="s">
        <v>88</v>
      </c>
      <c r="B42" s="1" t="str">
        <f aca="false">IF(  OR(ISNUMBER(SEARCH("SMOTEENN",A42)),ISNUMBER(SEARCH("SMOTETomek",A42))),  "Hybrid",  IF(   AND(    OR(ISNUMBER(SEARCH("SMOTE",A42)),ISNUMBER(SEARCH("SVMSMOTE",A42)),ISNUMBER(SEARCH("RandomOverSampler",A42)),ISNUMBER(SEARCH("BorderlineSmote",A42))),    OR(ISNUMBER(SEARCH("RandomUnderSampler",A42)),ISNUMBER(SEARCH("ClusterCentroids",A42)),ISNUMBER(SEARCH("OneSidedSelection",A42)))   ),   "Over+Under",   IF(    OR(ISNUMBER(SEARCH("SMOTE",A42)),ISNUMBER(SEARCH("SVMSMOTE",A42)),ISNUMBER(SEARCH("RandomOverSampler",A42)),ISNUMBER(SEARCH("BorderlineSmote",A42))),    "Oversampling",    IF(     OR(ISNUMBER(SEARCH("RandomUnderSampler",A42)),ISNUMBER(SEARCH("ClusterCentroids",A42)),ISNUMBER(SEARCH("OneSidedSelection",A42))),     "Undersampler",     "Czysty"    )   )  ) )</f>
        <v>Over+Under</v>
      </c>
      <c r="C42" s="1" t="s">
        <v>74</v>
      </c>
      <c r="D42" s="1" t="n">
        <v>0.5982</v>
      </c>
      <c r="E42" s="1" t="n">
        <v>0.4089</v>
      </c>
      <c r="F42" s="1" t="n">
        <v>0.4493</v>
      </c>
      <c r="G42" s="1" t="n">
        <v>0.4422</v>
      </c>
    </row>
    <row r="43" customFormat="false" ht="13.8" hidden="false" customHeight="false" outlineLevel="0" collapsed="false">
      <c r="A43" s="1" t="s">
        <v>87</v>
      </c>
      <c r="B43" s="1" t="str">
        <f aca="false">IF(  OR(ISNUMBER(SEARCH("SMOTEENN",A43)),ISNUMBER(SEARCH("SMOTETomek",A43))),  "Hybrid",  IF(   AND(    OR(ISNUMBER(SEARCH("SMOTE",A43)),ISNUMBER(SEARCH("SVMSMOTE",A43)),ISNUMBER(SEARCH("RandomOverSampler",A43)),ISNUMBER(SEARCH("BorderlineSmote",A43))),    OR(ISNUMBER(SEARCH("RandomUnderSampler",A43)),ISNUMBER(SEARCH("ClusterCentroids",A43)),ISNUMBER(SEARCH("OneSidedSelection",A43)))   ),   "Over+Under",   IF(    OR(ISNUMBER(SEARCH("SMOTE",A43)),ISNUMBER(SEARCH("SVMSMOTE",A43)),ISNUMBER(SEARCH("RandomOverSampler",A43)),ISNUMBER(SEARCH("BorderlineSmote",A43))),    "Oversampling",    IF(     OR(ISNUMBER(SEARCH("RandomUnderSampler",A43)),ISNUMBER(SEARCH("ClusterCentroids",A43)),ISNUMBER(SEARCH("OneSidedSelection",A43))),     "Undersampler",     "Czysty"    )   )  ) )</f>
        <v>Hybrid</v>
      </c>
      <c r="C43" s="1" t="s">
        <v>74</v>
      </c>
      <c r="D43" s="1" t="n">
        <v>0.2298</v>
      </c>
      <c r="E43" s="1" t="n">
        <v>0.1503</v>
      </c>
      <c r="F43" s="1" t="n">
        <v>0.115</v>
      </c>
      <c r="G43" s="1" t="n">
        <v>0.2742</v>
      </c>
    </row>
    <row r="44" customFormat="false" ht="13.8" hidden="false" customHeight="false" outlineLevel="0" collapsed="false">
      <c r="A44" s="1" t="s">
        <v>83</v>
      </c>
      <c r="B44" s="1" t="str">
        <f aca="false">IF(  OR(ISNUMBER(SEARCH("SMOTEENN",A44)),ISNUMBER(SEARCH("SMOTETomek",A44))),  "Hybrid",  IF(   AND(    OR(ISNUMBER(SEARCH("SMOTE",A44)),ISNUMBER(SEARCH("SVMSMOTE",A44)),ISNUMBER(SEARCH("RandomOverSampler",A44)),ISNUMBER(SEARCH("BorderlineSmote",A44))),    OR(ISNUMBER(SEARCH("RandomUnderSampler",A44)),ISNUMBER(SEARCH("ClusterCentroids",A44)),ISNUMBER(SEARCH("OneSidedSelection",A44)))   ),   "Over+Under",   IF(    OR(ISNUMBER(SEARCH("SMOTE",A44)),ISNUMBER(SEARCH("SVMSMOTE",A44)),ISNUMBER(SEARCH("RandomOverSampler",A44)),ISNUMBER(SEARCH("BorderlineSmote",A44))),    "Oversampling",    IF(     OR(ISNUMBER(SEARCH("RandomUnderSampler",A44)),ISNUMBER(SEARCH("ClusterCentroids",A44)),ISNUMBER(SEARCH("OneSidedSelection",A44))),     "Undersampler",     "Czysty"    )   )  ) )</f>
        <v>Over+Under</v>
      </c>
      <c r="C44" s="1" t="s">
        <v>74</v>
      </c>
      <c r="D44" s="1" t="n">
        <v>0.0263</v>
      </c>
      <c r="E44" s="1" t="n">
        <v>0.0073</v>
      </c>
      <c r="F44" s="1" t="n">
        <v>0.0038</v>
      </c>
      <c r="G44" s="1" t="n">
        <v>0.1429</v>
      </c>
    </row>
    <row r="45" customFormat="false" ht="13.8" hidden="false" customHeight="false" outlineLevel="0" collapsed="false">
      <c r="A45" s="1" t="s">
        <v>85</v>
      </c>
      <c r="B45" s="1" t="str">
        <f aca="false">IF(  OR(ISNUMBER(SEARCH("SMOTEENN",A45)),ISNUMBER(SEARCH("SMOTETomek",A45))),  "Hybrid",  IF(   AND(    OR(ISNUMBER(SEARCH("SMOTE",A45)),ISNUMBER(SEARCH("SVMSMOTE",A45)),ISNUMBER(SEARCH("RandomOverSampler",A45)),ISNUMBER(SEARCH("BorderlineSmote",A45))),    OR(ISNUMBER(SEARCH("RandomUnderSampler",A45)),ISNUMBER(SEARCH("ClusterCentroids",A45)),ISNUMBER(SEARCH("OneSidedSelection",A45)))   ),   "Over+Under",   IF(    OR(ISNUMBER(SEARCH("SMOTE",A45)),ISNUMBER(SEARCH("SVMSMOTE",A45)),ISNUMBER(SEARCH("RandomOverSampler",A45)),ISNUMBER(SEARCH("BorderlineSmote",A45))),    "Oversampling",    IF(     OR(ISNUMBER(SEARCH("RandomUnderSampler",A45)),ISNUMBER(SEARCH("ClusterCentroids",A45)),ISNUMBER(SEARCH("OneSidedSelection",A45))),     "Undersampler",     "Czysty"    )   )  ) )</f>
        <v>Over+Under</v>
      </c>
      <c r="C45" s="1" t="s">
        <v>74</v>
      </c>
      <c r="D45" s="1" t="n">
        <v>0.0263</v>
      </c>
      <c r="E45" s="1" t="n">
        <v>0.0073</v>
      </c>
      <c r="F45" s="1" t="n">
        <v>0.0038</v>
      </c>
      <c r="G45" s="1" t="n">
        <v>0.1429</v>
      </c>
    </row>
    <row r="46" customFormat="false" ht="13.8" hidden="false" customHeight="false" outlineLevel="0" collapsed="false">
      <c r="A46" s="1" t="s">
        <v>82</v>
      </c>
      <c r="B46" s="1" t="str">
        <f aca="false">IF(  OR(ISNUMBER(SEARCH("SMOTEENN",A46)),ISNUMBER(SEARCH("SMOTETomek",A46))),  "Hybrid",  IF(   AND(    OR(ISNUMBER(SEARCH("SMOTE",A46)),ISNUMBER(SEARCH("SVMSMOTE",A46)),ISNUMBER(SEARCH("RandomOverSampler",A46)),ISNUMBER(SEARCH("BorderlineSmote",A46))),    OR(ISNUMBER(SEARCH("RandomUnderSampler",A46)),ISNUMBER(SEARCH("ClusterCentroids",A46)),ISNUMBER(SEARCH("OneSidedSelection",A46)))   ),   "Over+Under",   IF(    OR(ISNUMBER(SEARCH("SMOTE",A46)),ISNUMBER(SEARCH("SVMSMOTE",A46)),ISNUMBER(SEARCH("RandomOverSampler",A46)),ISNUMBER(SEARCH("BorderlineSmote",A46))),    "Oversampling",    IF(     OR(ISNUMBER(SEARCH("RandomUnderSampler",A46)),ISNUMBER(SEARCH("ClusterCentroids",A46)),ISNUMBER(SEARCH("OneSidedSelection",A46))),     "Undersampler",     "Czysty"    )   )  ) )</f>
        <v>Over+Under</v>
      </c>
      <c r="C46" s="1" t="s">
        <v>74</v>
      </c>
      <c r="D46" s="1" t="n">
        <v>0.0263</v>
      </c>
      <c r="E46" s="1" t="n">
        <v>0.0073</v>
      </c>
      <c r="F46" s="1" t="n">
        <v>0.0038</v>
      </c>
      <c r="G46" s="1" t="n">
        <v>0.1429</v>
      </c>
    </row>
    <row r="47" customFormat="false" ht="13.8" hidden="false" customHeight="false" outlineLevel="0" collapsed="false">
      <c r="A47" s="1" t="s">
        <v>86</v>
      </c>
      <c r="B47" s="1" t="str">
        <f aca="false">IF(  OR(ISNUMBER(SEARCH("SMOTEENN",A47)),ISNUMBER(SEARCH("SMOTETomek",A47))),  "Hybrid",  IF(   AND(    OR(ISNUMBER(SEARCH("SMOTE",A47)),ISNUMBER(SEARCH("SVMSMOTE",A47)),ISNUMBER(SEARCH("RandomOverSampler",A47)),ISNUMBER(SEARCH("BorderlineSmote",A47))),    OR(ISNUMBER(SEARCH("RandomUnderSampler",A47)),ISNUMBER(SEARCH("ClusterCentroids",A47)),ISNUMBER(SEARCH("OneSidedSelection",A47)))   ),   "Over+Under",   IF(    OR(ISNUMBER(SEARCH("SMOTE",A47)),ISNUMBER(SEARCH("SVMSMOTE",A47)),ISNUMBER(SEARCH("RandomOverSampler",A47)),ISNUMBER(SEARCH("BorderlineSmote",A47))),    "Oversampling",    IF(     OR(ISNUMBER(SEARCH("RandomUnderSampler",A47)),ISNUMBER(SEARCH("ClusterCentroids",A47)),ISNUMBER(SEARCH("OneSidedSelection",A47))),     "Undersampler",     "Czysty"    )   )  ) )</f>
        <v>Over+Under</v>
      </c>
      <c r="C47" s="1" t="s">
        <v>74</v>
      </c>
      <c r="D47" s="1" t="n">
        <v>0.0263</v>
      </c>
      <c r="E47" s="1" t="n">
        <v>0.0073</v>
      </c>
      <c r="F47" s="1" t="n">
        <v>0.0038</v>
      </c>
      <c r="G47" s="1" t="n">
        <v>0.1429</v>
      </c>
    </row>
    <row r="49" customFormat="false" ht="13.8" hidden="false" customHeight="false" outlineLevel="0" collapsed="false">
      <c r="A49" s="3" t="s">
        <v>23</v>
      </c>
      <c r="B49" s="3"/>
      <c r="C49" s="3"/>
      <c r="D49" s="3"/>
      <c r="E49" s="3"/>
      <c r="F49" s="3"/>
      <c r="G49" s="3"/>
    </row>
    <row r="50" customFormat="false" ht="13.8" hidden="false" customHeight="false" outlineLevel="0" collapsed="false">
      <c r="A50" s="1" t="s">
        <v>80</v>
      </c>
      <c r="B50" s="1" t="str">
        <f aca="false">IF(  OR(ISNUMBER(SEARCH("SMOTEENN",A50)),ISNUMBER(SEARCH("SMOTETomek",A50))),  "Hybrid",  IF(   AND(    OR(ISNUMBER(SEARCH("SMOTE",A50)),ISNUMBER(SEARCH("SVMSMOTE",A50)),ISNUMBER(SEARCH("RandomOverSampler",A50)),ISNUMBER(SEARCH("BorderlineSmote",A50))),    OR(ISNUMBER(SEARCH("RandomUnderSampler",A50)),ISNUMBER(SEARCH("ClusterCentroids",A50)),ISNUMBER(SEARCH("OneSidedSelection",A50)))   ),   "Over+Under",   IF(    OR(ISNUMBER(SEARCH("SMOTE",A50)),ISNUMBER(SEARCH("SVMSMOTE",A50)),ISNUMBER(SEARCH("RandomOverSampler",A50)),ISNUMBER(SEARCH("BorderlineSmote",A50))),    "Oversampling",    IF(     OR(ISNUMBER(SEARCH("RandomUnderSampler",A50)),ISNUMBER(SEARCH("ClusterCentroids",A50)),ISNUMBER(SEARCH("OneSidedSelection",A50))),     "Undersampler",     "Czysty"    )   )  ) )</f>
        <v>Hybrid</v>
      </c>
      <c r="C50" s="1" t="s">
        <v>14</v>
      </c>
      <c r="D50" s="1" t="n">
        <v>0.7526</v>
      </c>
      <c r="E50" s="1" t="n">
        <v>0.6077</v>
      </c>
      <c r="F50" s="1" t="n">
        <v>0.609</v>
      </c>
      <c r="G50" s="1" t="n">
        <v>0.6192</v>
      </c>
    </row>
    <row r="51" customFormat="false" ht="13.8" hidden="false" customHeight="false" outlineLevel="0" collapsed="false">
      <c r="A51" s="1" t="s">
        <v>79</v>
      </c>
      <c r="B51" s="1" t="str">
        <f aca="false">IF(  OR(ISNUMBER(SEARCH("SMOTEENN",A51)),ISNUMBER(SEARCH("SMOTETomek",A51))),  "Hybrid",  IF(   AND(    OR(ISNUMBER(SEARCH("SMOTE",A51)),ISNUMBER(SEARCH("SVMSMOTE",A51)),ISNUMBER(SEARCH("RandomOverSampler",A51)),ISNUMBER(SEARCH("BorderlineSmote",A51))),    OR(ISNUMBER(SEARCH("RandomUnderSampler",A51)),ISNUMBER(SEARCH("ClusterCentroids",A51)),ISNUMBER(SEARCH("OneSidedSelection",A51)))   ),   "Over+Under",   IF(    OR(ISNUMBER(SEARCH("SMOTE",A51)),ISNUMBER(SEARCH("SVMSMOTE",A51)),ISNUMBER(SEARCH("RandomOverSampler",A51)),ISNUMBER(SEARCH("BorderlineSmote",A51))),    "Oversampling",    IF(     OR(ISNUMBER(SEARCH("RandomUnderSampler",A51)),ISNUMBER(SEARCH("ClusterCentroids",A51)),ISNUMBER(SEARCH("OneSidedSelection",A51))),     "Undersampler",     "Czysty"    )   )  ) )</f>
        <v>Oversampling</v>
      </c>
      <c r="C51" s="1" t="s">
        <v>14</v>
      </c>
      <c r="D51" s="1" t="n">
        <v>0.7404</v>
      </c>
      <c r="E51" s="1" t="n">
        <v>0.5892</v>
      </c>
      <c r="F51" s="1" t="n">
        <v>0.6103</v>
      </c>
      <c r="G51" s="1" t="n">
        <v>0.6006</v>
      </c>
    </row>
    <row r="52" customFormat="false" ht="13.8" hidden="false" customHeight="false" outlineLevel="0" collapsed="false">
      <c r="A52" s="1" t="s">
        <v>81</v>
      </c>
      <c r="B52" s="1" t="str">
        <f aca="false">IF(  OR(ISNUMBER(SEARCH("SMOTEENN",A52)),ISNUMBER(SEARCH("SMOTETomek",A52))),  "Hybrid",  IF(   AND(    OR(ISNUMBER(SEARCH("SMOTE",A52)),ISNUMBER(SEARCH("SVMSMOTE",A52)),ISNUMBER(SEARCH("RandomOverSampler",A52)),ISNUMBER(SEARCH("BorderlineSmote",A52))),    OR(ISNUMBER(SEARCH("RandomUnderSampler",A52)),ISNUMBER(SEARCH("ClusterCentroids",A52)),ISNUMBER(SEARCH("OneSidedSelection",A52)))   ),   "Over+Under",   IF(    OR(ISNUMBER(SEARCH("SMOTE",A52)),ISNUMBER(SEARCH("SVMSMOTE",A52)),ISNUMBER(SEARCH("RandomOverSampler",A52)),ISNUMBER(SEARCH("BorderlineSmote",A52))),    "Oversampling",    IF(     OR(ISNUMBER(SEARCH("RandomUnderSampler",A52)),ISNUMBER(SEARCH("ClusterCentroids",A52)),ISNUMBER(SEARCH("OneSidedSelection",A52))),     "Undersampler",     "Czysty"    )   )  ) )</f>
        <v>Oversampling</v>
      </c>
      <c r="C52" s="1" t="s">
        <v>14</v>
      </c>
      <c r="D52" s="1" t="n">
        <v>0.7088</v>
      </c>
      <c r="E52" s="1" t="n">
        <v>0.5783</v>
      </c>
      <c r="F52" s="1" t="n">
        <v>0.5837</v>
      </c>
      <c r="G52" s="1" t="n">
        <v>0.5855</v>
      </c>
    </row>
    <row r="53" customFormat="false" ht="13.8" hidden="false" customHeight="false" outlineLevel="0" collapsed="false">
      <c r="A53" s="1" t="s">
        <v>23</v>
      </c>
      <c r="B53" s="1" t="str">
        <f aca="false">IF(  OR(ISNUMBER(SEARCH("SMOTEENN",A53)),ISNUMBER(SEARCH("SMOTETomek",A53))),  "Hybrid",  IF(   AND(    OR(ISNUMBER(SEARCH("SMOTE",A53)),ISNUMBER(SEARCH("SVMSMOTE",A53)),ISNUMBER(SEARCH("RandomOverSampler",A53)),ISNUMBER(SEARCH("BorderlineSmote",A53))),    OR(ISNUMBER(SEARCH("RandomUnderSampler",A53)),ISNUMBER(SEARCH("ClusterCentroids",A53)),ISNUMBER(SEARCH("OneSidedSelection",A53)))   ),   "Over+Under",   IF(    OR(ISNUMBER(SEARCH("SMOTE",A53)),ISNUMBER(SEARCH("SVMSMOTE",A53)),ISNUMBER(SEARCH("RandomOverSampler",A53)),ISNUMBER(SEARCH("BorderlineSmote",A53))),    "Oversampling",    IF(     OR(ISNUMBER(SEARCH("RandomUnderSampler",A53)),ISNUMBER(SEARCH("ClusterCentroids",A53)),ISNUMBER(SEARCH("OneSidedSelection",A53))),     "Undersampler",     "Czysty"    )   )  ) )</f>
        <v>Czysty</v>
      </c>
      <c r="C53" s="1" t="s">
        <v>14</v>
      </c>
      <c r="D53" s="1" t="n">
        <v>0.7281</v>
      </c>
      <c r="E53" s="1" t="n">
        <v>0.5587</v>
      </c>
      <c r="F53" s="1" t="n">
        <v>0.5693</v>
      </c>
      <c r="G53" s="1" t="n">
        <v>0.5685</v>
      </c>
    </row>
    <row r="54" customFormat="false" ht="13.8" hidden="false" customHeight="false" outlineLevel="0" collapsed="false">
      <c r="A54" s="1" t="s">
        <v>88</v>
      </c>
      <c r="B54" s="1" t="str">
        <f aca="false">IF(  OR(ISNUMBER(SEARCH("SMOTEENN",A54)),ISNUMBER(SEARCH("SMOTETomek",A54))),  "Hybrid",  IF(   AND(    OR(ISNUMBER(SEARCH("SMOTE",A54)),ISNUMBER(SEARCH("SVMSMOTE",A54)),ISNUMBER(SEARCH("RandomOverSampler",A54)),ISNUMBER(SEARCH("BorderlineSmote",A54))),    OR(ISNUMBER(SEARCH("RandomUnderSampler",A54)),ISNUMBER(SEARCH("ClusterCentroids",A54)),ISNUMBER(SEARCH("OneSidedSelection",A54)))   ),   "Over+Under",   IF(    OR(ISNUMBER(SEARCH("SMOTE",A54)),ISNUMBER(SEARCH("SVMSMOTE",A54)),ISNUMBER(SEARCH("RandomOverSampler",A54)),ISNUMBER(SEARCH("BorderlineSmote",A54))),    "Oversampling",    IF(     OR(ISNUMBER(SEARCH("RandomUnderSampler",A54)),ISNUMBER(SEARCH("ClusterCentroids",A54)),ISNUMBER(SEARCH("OneSidedSelection",A54))),     "Undersampler",     "Czysty"    )   )  ) )</f>
        <v>Over+Under</v>
      </c>
      <c r="C54" s="1" t="s">
        <v>14</v>
      </c>
      <c r="D54" s="1" t="n">
        <v>0.4596</v>
      </c>
      <c r="E54" s="1" t="n">
        <v>0.3219</v>
      </c>
      <c r="F54" s="1" t="n">
        <v>0.3407</v>
      </c>
      <c r="G54" s="1" t="n">
        <v>0.3361</v>
      </c>
    </row>
    <row r="55" customFormat="false" ht="13.8" hidden="false" customHeight="false" outlineLevel="0" collapsed="false">
      <c r="A55" s="1" t="s">
        <v>84</v>
      </c>
      <c r="B55" s="1" t="str">
        <f aca="false">IF(  OR(ISNUMBER(SEARCH("SMOTEENN",A55)),ISNUMBER(SEARCH("SMOTETomek",A55))),  "Hybrid",  IF(   AND(    OR(ISNUMBER(SEARCH("SMOTE",A55)),ISNUMBER(SEARCH("SVMSMOTE",A55)),ISNUMBER(SEARCH("RandomOverSampler",A55)),ISNUMBER(SEARCH("BorderlineSmote",A55))),    OR(ISNUMBER(SEARCH("RandomUnderSampler",A55)),ISNUMBER(SEARCH("ClusterCentroids",A55)),ISNUMBER(SEARCH("OneSidedSelection",A55)))   ),   "Over+Under",   IF(    OR(ISNUMBER(SEARCH("SMOTE",A55)),ISNUMBER(SEARCH("SVMSMOTE",A55)),ISNUMBER(SEARCH("RandomOverSampler",A55)),ISNUMBER(SEARCH("BorderlineSmote",A55))),    "Oversampling",    IF(     OR(ISNUMBER(SEARCH("RandomUnderSampler",A55)),ISNUMBER(SEARCH("ClusterCentroids",A55)),ISNUMBER(SEARCH("OneSidedSelection",A55))),     "Undersampler",     "Czysty"    )   )  ) )</f>
        <v>Over+Under</v>
      </c>
      <c r="C55" s="1" t="s">
        <v>14</v>
      </c>
      <c r="D55" s="1" t="n">
        <v>0.3649</v>
      </c>
      <c r="E55" s="1" t="n">
        <v>0.2646</v>
      </c>
      <c r="F55" s="1" t="n">
        <v>0.3087</v>
      </c>
      <c r="G55" s="1" t="n">
        <v>0.2953</v>
      </c>
    </row>
    <row r="56" customFormat="false" ht="13.8" hidden="false" customHeight="false" outlineLevel="0" collapsed="false">
      <c r="A56" s="1" t="s">
        <v>83</v>
      </c>
      <c r="B56" s="1" t="str">
        <f aca="false">IF(  OR(ISNUMBER(SEARCH("SMOTEENN",A56)),ISNUMBER(SEARCH("SMOTETomek",A56))),  "Hybrid",  IF(   AND(    OR(ISNUMBER(SEARCH("SMOTE",A56)),ISNUMBER(SEARCH("SVMSMOTE",A56)),ISNUMBER(SEARCH("RandomOverSampler",A56)),ISNUMBER(SEARCH("BorderlineSmote",A56))),    OR(ISNUMBER(SEARCH("RandomUnderSampler",A56)),ISNUMBER(SEARCH("ClusterCentroids",A56)),ISNUMBER(SEARCH("OneSidedSelection",A56)))   ),   "Over+Under",   IF(    OR(ISNUMBER(SEARCH("SMOTE",A56)),ISNUMBER(SEARCH("SVMSMOTE",A56)),ISNUMBER(SEARCH("RandomOverSampler",A56)),ISNUMBER(SEARCH("BorderlineSmote",A56))),    "Oversampling",    IF(     OR(ISNUMBER(SEARCH("RandomUnderSampler",A56)),ISNUMBER(SEARCH("ClusterCentroids",A56)),ISNUMBER(SEARCH("OneSidedSelection",A56))),     "Undersampler",     "Czysty"    )   )  ) )</f>
        <v>Over+Under</v>
      </c>
      <c r="C56" s="1" t="s">
        <v>14</v>
      </c>
      <c r="D56" s="1" t="n">
        <v>0.2667</v>
      </c>
      <c r="E56" s="1" t="n">
        <v>0.2085</v>
      </c>
      <c r="F56" s="1" t="n">
        <v>0.2578</v>
      </c>
      <c r="G56" s="1" t="n">
        <v>0.2167</v>
      </c>
    </row>
    <row r="57" customFormat="false" ht="13.8" hidden="false" customHeight="false" outlineLevel="0" collapsed="false">
      <c r="A57" s="1" t="s">
        <v>82</v>
      </c>
      <c r="B57" s="1" t="str">
        <f aca="false">IF(  OR(ISNUMBER(SEARCH("SMOTEENN",A57)),ISNUMBER(SEARCH("SMOTETomek",A57))),  "Hybrid",  IF(   AND(    OR(ISNUMBER(SEARCH("SMOTE",A57)),ISNUMBER(SEARCH("SVMSMOTE",A57)),ISNUMBER(SEARCH("RandomOverSampler",A57)),ISNUMBER(SEARCH("BorderlineSmote",A57))),    OR(ISNUMBER(SEARCH("RandomUnderSampler",A57)),ISNUMBER(SEARCH("ClusterCentroids",A57)),ISNUMBER(SEARCH("OneSidedSelection",A57)))   ),   "Over+Under",   IF(    OR(ISNUMBER(SEARCH("SMOTE",A57)),ISNUMBER(SEARCH("SVMSMOTE",A57)),ISNUMBER(SEARCH("RandomOverSampler",A57)),ISNUMBER(SEARCH("BorderlineSmote",A57))),    "Oversampling",    IF(     OR(ISNUMBER(SEARCH("RandomUnderSampler",A57)),ISNUMBER(SEARCH("ClusterCentroids",A57)),ISNUMBER(SEARCH("OneSidedSelection",A57))),     "Undersampler",     "Czysty"    )   )  ) )</f>
        <v>Over+Under</v>
      </c>
      <c r="C57" s="1" t="s">
        <v>14</v>
      </c>
      <c r="D57" s="1" t="n">
        <v>0.214</v>
      </c>
      <c r="E57" s="1" t="n">
        <v>0.1565</v>
      </c>
      <c r="F57" s="1" t="n">
        <v>0.1981</v>
      </c>
      <c r="G57" s="1" t="n">
        <v>0.1687</v>
      </c>
    </row>
    <row r="58" customFormat="false" ht="13.8" hidden="false" customHeight="false" outlineLevel="0" collapsed="false">
      <c r="A58" s="1" t="s">
        <v>87</v>
      </c>
      <c r="B58" s="1" t="str">
        <f aca="false">IF(  OR(ISNUMBER(SEARCH("SMOTEENN",A58)),ISNUMBER(SEARCH("SMOTETomek",A58))),  "Hybrid",  IF(   AND(    OR(ISNUMBER(SEARCH("SMOTE",A58)),ISNUMBER(SEARCH("SVMSMOTE",A58)),ISNUMBER(SEARCH("RandomOverSampler",A58)),ISNUMBER(SEARCH("BorderlineSmote",A58))),    OR(ISNUMBER(SEARCH("RandomUnderSampler",A58)),ISNUMBER(SEARCH("ClusterCentroids",A58)),ISNUMBER(SEARCH("OneSidedSelection",A58)))   ),   "Over+Under",   IF(    OR(ISNUMBER(SEARCH("SMOTE",A58)),ISNUMBER(SEARCH("SVMSMOTE",A58)),ISNUMBER(SEARCH("RandomOverSampler",A58)),ISNUMBER(SEARCH("BorderlineSmote",A58))),    "Oversampling",    IF(     OR(ISNUMBER(SEARCH("RandomUnderSampler",A58)),ISNUMBER(SEARCH("ClusterCentroids",A58)),ISNUMBER(SEARCH("OneSidedSelection",A58))),     "Undersampler",     "Czysty"    )   )  ) )</f>
        <v>Hybrid</v>
      </c>
      <c r="C58" s="1" t="s">
        <v>14</v>
      </c>
      <c r="D58" s="1" t="n">
        <v>0.2105</v>
      </c>
      <c r="E58" s="1" t="n">
        <v>0.1528</v>
      </c>
      <c r="F58" s="1" t="n">
        <v>0.1322</v>
      </c>
      <c r="G58" s="1" t="n">
        <v>0.2829</v>
      </c>
    </row>
    <row r="59" customFormat="false" ht="13.8" hidden="false" customHeight="false" outlineLevel="0" collapsed="false">
      <c r="A59" s="1" t="s">
        <v>85</v>
      </c>
      <c r="B59" s="1" t="str">
        <f aca="false">IF(  OR(ISNUMBER(SEARCH("SMOTEENN",A59)),ISNUMBER(SEARCH("SMOTETomek",A59))),  "Hybrid",  IF(   AND(    OR(ISNUMBER(SEARCH("SMOTE",A59)),ISNUMBER(SEARCH("SVMSMOTE",A59)),ISNUMBER(SEARCH("RandomOverSampler",A59)),ISNUMBER(SEARCH("BorderlineSmote",A59))),    OR(ISNUMBER(SEARCH("RandomUnderSampler",A59)),ISNUMBER(SEARCH("ClusterCentroids",A59)),ISNUMBER(SEARCH("OneSidedSelection",A59)))   ),   "Over+Under",   IF(    OR(ISNUMBER(SEARCH("SMOTE",A59)),ISNUMBER(SEARCH("SVMSMOTE",A59)),ISNUMBER(SEARCH("RandomOverSampler",A59)),ISNUMBER(SEARCH("BorderlineSmote",A59))),    "Oversampling",    IF(     OR(ISNUMBER(SEARCH("RandomUnderSampler",A59)),ISNUMBER(SEARCH("ClusterCentroids",A59)),ISNUMBER(SEARCH("OneSidedSelection",A59))),     "Undersampler",     "Czysty"    )   )  ) )</f>
        <v>Over+Under</v>
      </c>
      <c r="C59" s="1" t="s">
        <v>14</v>
      </c>
      <c r="D59" s="1" t="n">
        <v>0.1649</v>
      </c>
      <c r="E59" s="1" t="n">
        <v>0.1388</v>
      </c>
      <c r="F59" s="1" t="n">
        <v>0.2009</v>
      </c>
      <c r="G59" s="1" t="n">
        <v>0.1752</v>
      </c>
    </row>
    <row r="60" customFormat="false" ht="13.8" hidden="false" customHeight="false" outlineLevel="0" collapsed="false">
      <c r="A60" s="1" t="s">
        <v>86</v>
      </c>
      <c r="B60" s="1" t="str">
        <f aca="false">IF(  OR(ISNUMBER(SEARCH("SMOTEENN",A60)),ISNUMBER(SEARCH("SMOTETomek",A60))),  "Hybrid",  IF(   AND(    OR(ISNUMBER(SEARCH("SMOTE",A60)),ISNUMBER(SEARCH("SVMSMOTE",A60)),ISNUMBER(SEARCH("RandomOverSampler",A60)),ISNUMBER(SEARCH("BorderlineSmote",A60))),    OR(ISNUMBER(SEARCH("RandomUnderSampler",A60)),ISNUMBER(SEARCH("ClusterCentroids",A60)),ISNUMBER(SEARCH("OneSidedSelection",A60)))   ),   "Over+Under",   IF(    OR(ISNUMBER(SEARCH("SMOTE",A60)),ISNUMBER(SEARCH("SVMSMOTE",A60)),ISNUMBER(SEARCH("RandomOverSampler",A60)),ISNUMBER(SEARCH("BorderlineSmote",A60))),    "Oversampling",    IF(     OR(ISNUMBER(SEARCH("RandomUnderSampler",A60)),ISNUMBER(SEARCH("ClusterCentroids",A60)),ISNUMBER(SEARCH("OneSidedSelection",A60))),     "Undersampler",     "Czysty"    )   )  ) )</f>
        <v>Over+Under</v>
      </c>
      <c r="C60" s="1" t="s">
        <v>14</v>
      </c>
      <c r="D60" s="1" t="n">
        <v>0.1491</v>
      </c>
      <c r="E60" s="1" t="n">
        <v>0.1216</v>
      </c>
      <c r="F60" s="1" t="n">
        <v>0.1588</v>
      </c>
      <c r="G60" s="1" t="n">
        <v>0.1499</v>
      </c>
    </row>
    <row r="61" customFormat="false" ht="13.8" hidden="false" customHeight="false" outlineLevel="0" collapsed="false">
      <c r="A61" s="1" t="s">
        <v>79</v>
      </c>
      <c r="B61" s="1" t="str">
        <f aca="false">IF(  OR(ISNUMBER(SEARCH("SMOTEENN",A61)),ISNUMBER(SEARCH("SMOTETomek",A61))),  "Hybrid",  IF(   AND(    OR(ISNUMBER(SEARCH("SMOTE",A61)),ISNUMBER(SEARCH("SVMSMOTE",A61)),ISNUMBER(SEARCH("RandomOverSampler",A61)),ISNUMBER(SEARCH("BorderlineSmote",A61))),    OR(ISNUMBER(SEARCH("RandomUnderSampler",A61)),ISNUMBER(SEARCH("ClusterCentroids",A61)),ISNUMBER(SEARCH("OneSidedSelection",A61)))   ),   "Over+Under",   IF(    OR(ISNUMBER(SEARCH("SMOTE",A61)),ISNUMBER(SEARCH("SVMSMOTE",A61)),ISNUMBER(SEARCH("RandomOverSampler",A61)),ISNUMBER(SEARCH("BorderlineSmote",A61))),    "Oversampling",    IF(     OR(ISNUMBER(SEARCH("RandomUnderSampler",A61)),ISNUMBER(SEARCH("ClusterCentroids",A61)),ISNUMBER(SEARCH("OneSidedSelection",A61))),     "Undersampler",     "Czysty"    )   )  ) )</f>
        <v>Oversampling</v>
      </c>
      <c r="C61" s="1" t="s">
        <v>74</v>
      </c>
      <c r="D61" s="1" t="n">
        <v>0.7632</v>
      </c>
      <c r="E61" s="1" t="n">
        <v>0.614</v>
      </c>
      <c r="F61" s="1" t="n">
        <v>0.6297</v>
      </c>
      <c r="G61" s="1" t="n">
        <v>0.6225</v>
      </c>
    </row>
    <row r="62" customFormat="false" ht="13.8" hidden="false" customHeight="false" outlineLevel="0" collapsed="false">
      <c r="A62" s="1" t="s">
        <v>23</v>
      </c>
      <c r="B62" s="1" t="str">
        <f aca="false">IF(  OR(ISNUMBER(SEARCH("SMOTEENN",A62)),ISNUMBER(SEARCH("SMOTETomek",A62))),  "Hybrid",  IF(   AND(    OR(ISNUMBER(SEARCH("SMOTE",A62)),ISNUMBER(SEARCH("SVMSMOTE",A62)),ISNUMBER(SEARCH("RandomOverSampler",A62)),ISNUMBER(SEARCH("BorderlineSmote",A62))),    OR(ISNUMBER(SEARCH("RandomUnderSampler",A62)),ISNUMBER(SEARCH("ClusterCentroids",A62)),ISNUMBER(SEARCH("OneSidedSelection",A62)))   ),   "Over+Under",   IF(    OR(ISNUMBER(SEARCH("SMOTE",A62)),ISNUMBER(SEARCH("SVMSMOTE",A62)),ISNUMBER(SEARCH("RandomOverSampler",A62)),ISNUMBER(SEARCH("BorderlineSmote",A62))),    "Oversampling",    IF(     OR(ISNUMBER(SEARCH("RandomUnderSampler",A62)),ISNUMBER(SEARCH("ClusterCentroids",A62)),ISNUMBER(SEARCH("OneSidedSelection",A62))),     "Undersampler",     "Czysty"    )   )  ) )</f>
        <v>Czysty</v>
      </c>
      <c r="C62" s="1" t="s">
        <v>74</v>
      </c>
      <c r="D62" s="1" t="n">
        <v>0.7333</v>
      </c>
      <c r="E62" s="1" t="n">
        <v>0.5974</v>
      </c>
      <c r="F62" s="1" t="n">
        <v>0.6175</v>
      </c>
      <c r="G62" s="1" t="n">
        <v>0.6102</v>
      </c>
    </row>
    <row r="63" customFormat="false" ht="13.8" hidden="false" customHeight="false" outlineLevel="0" collapsed="false">
      <c r="A63" s="1" t="s">
        <v>81</v>
      </c>
      <c r="B63" s="1" t="str">
        <f aca="false">IF(  OR(ISNUMBER(SEARCH("SMOTEENN",A63)),ISNUMBER(SEARCH("SMOTETomek",A63))),  "Hybrid",  IF(   AND(    OR(ISNUMBER(SEARCH("SMOTE",A63)),ISNUMBER(SEARCH("SVMSMOTE",A63)),ISNUMBER(SEARCH("RandomOverSampler",A63)),ISNUMBER(SEARCH("BorderlineSmote",A63))),    OR(ISNUMBER(SEARCH("RandomUnderSampler",A63)),ISNUMBER(SEARCH("ClusterCentroids",A63)),ISNUMBER(SEARCH("OneSidedSelection",A63)))   ),   "Over+Under",   IF(    OR(ISNUMBER(SEARCH("SMOTE",A63)),ISNUMBER(SEARCH("SVMSMOTE",A63)),ISNUMBER(SEARCH("RandomOverSampler",A63)),ISNUMBER(SEARCH("BorderlineSmote",A63))),    "Oversampling",    IF(     OR(ISNUMBER(SEARCH("RandomUnderSampler",A63)),ISNUMBER(SEARCH("ClusterCentroids",A63)),ISNUMBER(SEARCH("OneSidedSelection",A63))),     "Undersampler",     "Czysty"    )   )  ) )</f>
        <v>Oversampling</v>
      </c>
      <c r="C63" s="1" t="s">
        <v>74</v>
      </c>
      <c r="D63" s="1" t="n">
        <v>0.7035</v>
      </c>
      <c r="E63" s="1" t="n">
        <v>0.5951</v>
      </c>
      <c r="F63" s="1" t="n">
        <v>0.5995</v>
      </c>
      <c r="G63" s="1" t="n">
        <v>0.6061</v>
      </c>
    </row>
    <row r="64" customFormat="false" ht="13.8" hidden="false" customHeight="false" outlineLevel="0" collapsed="false">
      <c r="A64" s="1" t="s">
        <v>80</v>
      </c>
      <c r="B64" s="1" t="str">
        <f aca="false">IF(  OR(ISNUMBER(SEARCH("SMOTEENN",A64)),ISNUMBER(SEARCH("SMOTETomek",A64))),  "Hybrid",  IF(   AND(    OR(ISNUMBER(SEARCH("SMOTE",A64)),ISNUMBER(SEARCH("SVMSMOTE",A64)),ISNUMBER(SEARCH("RandomOverSampler",A64)),ISNUMBER(SEARCH("BorderlineSmote",A64))),    OR(ISNUMBER(SEARCH("RandomUnderSampler",A64)),ISNUMBER(SEARCH("ClusterCentroids",A64)),ISNUMBER(SEARCH("OneSidedSelection",A64)))   ),   "Over+Under",   IF(    OR(ISNUMBER(SEARCH("SMOTE",A64)),ISNUMBER(SEARCH("SVMSMOTE",A64)),ISNUMBER(SEARCH("RandomOverSampler",A64)),ISNUMBER(SEARCH("BorderlineSmote",A64))),    "Oversampling",    IF(     OR(ISNUMBER(SEARCH("RandomUnderSampler",A64)),ISNUMBER(SEARCH("ClusterCentroids",A64)),ISNUMBER(SEARCH("OneSidedSelection",A64))),     "Undersampler",     "Czysty"    )   )  ) )</f>
        <v>Hybrid</v>
      </c>
      <c r="C64" s="1" t="s">
        <v>74</v>
      </c>
      <c r="D64" s="1" t="n">
        <v>0.6737</v>
      </c>
      <c r="E64" s="1" t="n">
        <v>0.5402</v>
      </c>
      <c r="F64" s="1" t="n">
        <v>0.5664</v>
      </c>
      <c r="G64" s="1" t="n">
        <v>0.5432</v>
      </c>
    </row>
    <row r="65" customFormat="false" ht="13.8" hidden="false" customHeight="false" outlineLevel="0" collapsed="false">
      <c r="A65" s="1" t="s">
        <v>88</v>
      </c>
      <c r="B65" s="1" t="str">
        <f aca="false">IF(  OR(ISNUMBER(SEARCH("SMOTEENN",A65)),ISNUMBER(SEARCH("SMOTETomek",A65))),  "Hybrid",  IF(   AND(    OR(ISNUMBER(SEARCH("SMOTE",A65)),ISNUMBER(SEARCH("SVMSMOTE",A65)),ISNUMBER(SEARCH("RandomOverSampler",A65)),ISNUMBER(SEARCH("BorderlineSmote",A65))),    OR(ISNUMBER(SEARCH("RandomUnderSampler",A65)),ISNUMBER(SEARCH("ClusterCentroids",A65)),ISNUMBER(SEARCH("OneSidedSelection",A65)))   ),   "Over+Under",   IF(    OR(ISNUMBER(SEARCH("SMOTE",A65)),ISNUMBER(SEARCH("SVMSMOTE",A65)),ISNUMBER(SEARCH("RandomOverSampler",A65)),ISNUMBER(SEARCH("BorderlineSmote",A65))),    "Oversampling",    IF(     OR(ISNUMBER(SEARCH("RandomUnderSampler",A65)),ISNUMBER(SEARCH("ClusterCentroids",A65)),ISNUMBER(SEARCH("OneSidedSelection",A65))),     "Undersampler",     "Czysty"    )   )  ) )</f>
        <v>Over+Under</v>
      </c>
      <c r="C65" s="1" t="s">
        <v>74</v>
      </c>
      <c r="D65" s="1" t="n">
        <v>0.4754</v>
      </c>
      <c r="E65" s="1" t="n">
        <v>0.328</v>
      </c>
      <c r="F65" s="1" t="n">
        <v>0.3456</v>
      </c>
      <c r="G65" s="1" t="n">
        <v>0.3409</v>
      </c>
    </row>
    <row r="66" customFormat="false" ht="13.8" hidden="false" customHeight="false" outlineLevel="0" collapsed="false">
      <c r="A66" s="1" t="s">
        <v>84</v>
      </c>
      <c r="B66" s="1" t="str">
        <f aca="false">IF(  OR(ISNUMBER(SEARCH("SMOTEENN",A66)),ISNUMBER(SEARCH("SMOTETomek",A66))),  "Hybrid",  IF(   AND(    OR(ISNUMBER(SEARCH("SMOTE",A66)),ISNUMBER(SEARCH("SVMSMOTE",A66)),ISNUMBER(SEARCH("RandomOverSampler",A66)),ISNUMBER(SEARCH("BorderlineSmote",A66))),    OR(ISNUMBER(SEARCH("RandomUnderSampler",A66)),ISNUMBER(SEARCH("ClusterCentroids",A66)),ISNUMBER(SEARCH("OneSidedSelection",A66)))   ),   "Over+Under",   IF(    OR(ISNUMBER(SEARCH("SMOTE",A66)),ISNUMBER(SEARCH("SVMSMOTE",A66)),ISNUMBER(SEARCH("RandomOverSampler",A66)),ISNUMBER(SEARCH("BorderlineSmote",A66))),    "Oversampling",    IF(     OR(ISNUMBER(SEARCH("RandomUnderSampler",A66)),ISNUMBER(SEARCH("ClusterCentroids",A66)),ISNUMBER(SEARCH("OneSidedSelection",A66))),     "Undersampler",     "Czysty"    )   )  ) )</f>
        <v>Over+Under</v>
      </c>
      <c r="C66" s="1" t="s">
        <v>74</v>
      </c>
      <c r="D66" s="1" t="n">
        <v>0.3877</v>
      </c>
      <c r="E66" s="1" t="n">
        <v>0.2626</v>
      </c>
      <c r="F66" s="1" t="n">
        <v>0.2993</v>
      </c>
      <c r="G66" s="1" t="n">
        <v>0.2748</v>
      </c>
    </row>
    <row r="67" customFormat="false" ht="13.8" hidden="false" customHeight="false" outlineLevel="0" collapsed="false">
      <c r="A67" s="1" t="s">
        <v>82</v>
      </c>
      <c r="B67" s="1" t="str">
        <f aca="false">IF(  OR(ISNUMBER(SEARCH("SMOTEENN",A67)),ISNUMBER(SEARCH("SMOTETomek",A67))),  "Hybrid",  IF(   AND(    OR(ISNUMBER(SEARCH("SMOTE",A67)),ISNUMBER(SEARCH("SVMSMOTE",A67)),ISNUMBER(SEARCH("RandomOverSampler",A67)),ISNUMBER(SEARCH("BorderlineSmote",A67))),    OR(ISNUMBER(SEARCH("RandomUnderSampler",A67)),ISNUMBER(SEARCH("ClusterCentroids",A67)),ISNUMBER(SEARCH("OneSidedSelection",A67)))   ),   "Over+Under",   IF(    OR(ISNUMBER(SEARCH("SMOTE",A67)),ISNUMBER(SEARCH("SVMSMOTE",A67)),ISNUMBER(SEARCH("RandomOverSampler",A67)),ISNUMBER(SEARCH("BorderlineSmote",A67))),    "Oversampling",    IF(     OR(ISNUMBER(SEARCH("RandomUnderSampler",A67)),ISNUMBER(SEARCH("ClusterCentroids",A67)),ISNUMBER(SEARCH("OneSidedSelection",A67))),     "Undersampler",     "Czysty"    )   )  ) )</f>
        <v>Over+Under</v>
      </c>
      <c r="C67" s="1" t="s">
        <v>74</v>
      </c>
      <c r="D67" s="1" t="n">
        <v>0.2684</v>
      </c>
      <c r="E67" s="1" t="n">
        <v>0.2237</v>
      </c>
      <c r="F67" s="1" t="n">
        <v>0.2851</v>
      </c>
      <c r="G67" s="1" t="n">
        <v>0.2386</v>
      </c>
    </row>
    <row r="68" customFormat="false" ht="13.8" hidden="false" customHeight="false" outlineLevel="0" collapsed="false">
      <c r="A68" s="1" t="s">
        <v>83</v>
      </c>
      <c r="B68" s="1" t="str">
        <f aca="false">IF(  OR(ISNUMBER(SEARCH("SMOTEENN",A68)),ISNUMBER(SEARCH("SMOTETomek",A68))),  "Hybrid",  IF(   AND(    OR(ISNUMBER(SEARCH("SMOTE",A68)),ISNUMBER(SEARCH("SVMSMOTE",A68)),ISNUMBER(SEARCH("RandomOverSampler",A68)),ISNUMBER(SEARCH("BorderlineSmote",A68))),    OR(ISNUMBER(SEARCH("RandomUnderSampler",A68)),ISNUMBER(SEARCH("ClusterCentroids",A68)),ISNUMBER(SEARCH("OneSidedSelection",A68)))   ),   "Over+Under",   IF(    OR(ISNUMBER(SEARCH("SMOTE",A68)),ISNUMBER(SEARCH("SVMSMOTE",A68)),ISNUMBER(SEARCH("RandomOverSampler",A68)),ISNUMBER(SEARCH("BorderlineSmote",A68))),    "Oversampling",    IF(     OR(ISNUMBER(SEARCH("RandomUnderSampler",A68)),ISNUMBER(SEARCH("ClusterCentroids",A68)),ISNUMBER(SEARCH("OneSidedSelection",A68))),     "Undersampler",     "Czysty"    )   )  ) )</f>
        <v>Over+Under</v>
      </c>
      <c r="C68" s="1" t="s">
        <v>74</v>
      </c>
      <c r="D68" s="1" t="n">
        <v>0.2702</v>
      </c>
      <c r="E68" s="1" t="n">
        <v>0.2184</v>
      </c>
      <c r="F68" s="1" t="n">
        <v>0.2865</v>
      </c>
      <c r="G68" s="1" t="n">
        <v>0.2655</v>
      </c>
    </row>
    <row r="69" customFormat="false" ht="13.8" hidden="false" customHeight="false" outlineLevel="0" collapsed="false">
      <c r="A69" s="1" t="s">
        <v>85</v>
      </c>
      <c r="B69" s="1" t="str">
        <f aca="false">IF(  OR(ISNUMBER(SEARCH("SMOTEENN",A69)),ISNUMBER(SEARCH("SMOTETomek",A69))),  "Hybrid",  IF(   AND(    OR(ISNUMBER(SEARCH("SMOTE",A69)),ISNUMBER(SEARCH("SVMSMOTE",A69)),ISNUMBER(SEARCH("RandomOverSampler",A69)),ISNUMBER(SEARCH("BorderlineSmote",A69))),    OR(ISNUMBER(SEARCH("RandomUnderSampler",A69)),ISNUMBER(SEARCH("ClusterCentroids",A69)),ISNUMBER(SEARCH("OneSidedSelection",A69)))   ),   "Over+Under",   IF(    OR(ISNUMBER(SEARCH("SMOTE",A69)),ISNUMBER(SEARCH("SVMSMOTE",A69)),ISNUMBER(SEARCH("RandomOverSampler",A69)),ISNUMBER(SEARCH("BorderlineSmote",A69))),    "Oversampling",    IF(     OR(ISNUMBER(SEARCH("RandomUnderSampler",A69)),ISNUMBER(SEARCH("ClusterCentroids",A69)),ISNUMBER(SEARCH("OneSidedSelection",A69))),     "Undersampler",     "Czysty"    )   )  ) )</f>
        <v>Over+Under</v>
      </c>
      <c r="C69" s="1" t="s">
        <v>74</v>
      </c>
      <c r="D69" s="1" t="n">
        <v>0.2263</v>
      </c>
      <c r="E69" s="1" t="n">
        <v>0.1836</v>
      </c>
      <c r="F69" s="1" t="n">
        <v>0.2221</v>
      </c>
      <c r="G69" s="1" t="n">
        <v>0.2103</v>
      </c>
    </row>
    <row r="70" customFormat="false" ht="13.8" hidden="false" customHeight="false" outlineLevel="0" collapsed="false">
      <c r="A70" s="1" t="s">
        <v>86</v>
      </c>
      <c r="B70" s="1" t="str">
        <f aca="false">IF(  OR(ISNUMBER(SEARCH("SMOTEENN",A70)),ISNUMBER(SEARCH("SMOTETomek",A70))),  "Hybrid",  IF(   AND(    OR(ISNUMBER(SEARCH("SMOTE",A70)),ISNUMBER(SEARCH("SVMSMOTE",A70)),ISNUMBER(SEARCH("RandomOverSampler",A70)),ISNUMBER(SEARCH("BorderlineSmote",A70))),    OR(ISNUMBER(SEARCH("RandomUnderSampler",A70)),ISNUMBER(SEARCH("ClusterCentroids",A70)),ISNUMBER(SEARCH("OneSidedSelection",A70)))   ),   "Over+Under",   IF(    OR(ISNUMBER(SEARCH("SMOTE",A70)),ISNUMBER(SEARCH("SVMSMOTE",A70)),ISNUMBER(SEARCH("RandomOverSampler",A70)),ISNUMBER(SEARCH("BorderlineSmote",A70))),    "Oversampling",    IF(     OR(ISNUMBER(SEARCH("RandomUnderSampler",A70)),ISNUMBER(SEARCH("ClusterCentroids",A70)),ISNUMBER(SEARCH("OneSidedSelection",A70))),     "Undersampler",     "Czysty"    )   )  ) )</f>
        <v>Over+Under</v>
      </c>
      <c r="C70" s="1" t="s">
        <v>74</v>
      </c>
      <c r="D70" s="1" t="n">
        <v>0.1982</v>
      </c>
      <c r="E70" s="1" t="n">
        <v>0.157</v>
      </c>
      <c r="F70" s="1" t="n">
        <v>0.1938</v>
      </c>
      <c r="G70" s="1" t="n">
        <v>0.1696</v>
      </c>
    </row>
    <row r="71" customFormat="false" ht="13.8" hidden="false" customHeight="false" outlineLevel="0" collapsed="false">
      <c r="A71" s="1" t="s">
        <v>87</v>
      </c>
      <c r="B71" s="1" t="str">
        <f aca="false">IF(  OR(ISNUMBER(SEARCH("SMOTEENN",A71)),ISNUMBER(SEARCH("SMOTETomek",A71))),  "Hybrid",  IF(   AND(    OR(ISNUMBER(SEARCH("SMOTE",A71)),ISNUMBER(SEARCH("SVMSMOTE",A71)),ISNUMBER(SEARCH("RandomOverSampler",A71)),ISNUMBER(SEARCH("BorderlineSmote",A71))),    OR(ISNUMBER(SEARCH("RandomUnderSampler",A71)),ISNUMBER(SEARCH("ClusterCentroids",A71)),ISNUMBER(SEARCH("OneSidedSelection",A71)))   ),   "Over+Under",   IF(    OR(ISNUMBER(SEARCH("SMOTE",A71)),ISNUMBER(SEARCH("SVMSMOTE",A71)),ISNUMBER(SEARCH("RandomOverSampler",A71)),ISNUMBER(SEARCH("BorderlineSmote",A71))),    "Oversampling",    IF(     OR(ISNUMBER(SEARCH("RandomUnderSampler",A71)),ISNUMBER(SEARCH("ClusterCentroids",A71)),ISNUMBER(SEARCH("OneSidedSelection",A71))),     "Undersampler",     "Czysty"    )   )  ) )</f>
        <v>Hybrid</v>
      </c>
      <c r="C71" s="1" t="s">
        <v>74</v>
      </c>
      <c r="D71" s="1" t="n">
        <v>0.1842</v>
      </c>
      <c r="E71" s="1" t="n">
        <v>0.1284</v>
      </c>
      <c r="F71" s="1" t="n">
        <v>0.1105</v>
      </c>
      <c r="G71" s="1" t="n">
        <v>0.2564</v>
      </c>
    </row>
    <row r="73" customFormat="false" ht="13.8" hidden="false" customHeight="false" outlineLevel="0" collapsed="false">
      <c r="A73" s="3" t="s">
        <v>26</v>
      </c>
      <c r="B73" s="3"/>
      <c r="C73" s="3"/>
      <c r="D73" s="3"/>
      <c r="E73" s="3"/>
      <c r="F73" s="3"/>
      <c r="G73" s="3"/>
    </row>
    <row r="74" customFormat="false" ht="13.8" hidden="false" customHeight="false" outlineLevel="0" collapsed="false">
      <c r="A74" s="1" t="s">
        <v>79</v>
      </c>
      <c r="B74" s="1" t="str">
        <f aca="false">IF(  OR(ISNUMBER(SEARCH("SMOTEENN",A74)),ISNUMBER(SEARCH("SMOTETomek",A74))),  "Hybrid",  IF(   AND(    OR(ISNUMBER(SEARCH("SMOTE",A74)),ISNUMBER(SEARCH("SVMSMOTE",A74)),ISNUMBER(SEARCH("RandomOverSampler",A74)),ISNUMBER(SEARCH("BorderlineSmote",A74))),    OR(ISNUMBER(SEARCH("RandomUnderSampler",A74)),ISNUMBER(SEARCH("ClusterCentroids",A74)),ISNUMBER(SEARCH("OneSidedSelection",A74)))   ),   "Over+Under",   IF(    OR(ISNUMBER(SEARCH("SMOTE",A74)),ISNUMBER(SEARCH("SVMSMOTE",A74)),ISNUMBER(SEARCH("RandomOverSampler",A74)),ISNUMBER(SEARCH("BorderlineSmote",A74))),    "Oversampling",    IF(     OR(ISNUMBER(SEARCH("RandomUnderSampler",A74)),ISNUMBER(SEARCH("ClusterCentroids",A74)),ISNUMBER(SEARCH("OneSidedSelection",A74))),     "Undersampler",     "Czysty"    )   )  ) )</f>
        <v>Oversampling</v>
      </c>
      <c r="C74" s="1" t="s">
        <v>14</v>
      </c>
      <c r="D74" s="1" t="n">
        <v>0.7228</v>
      </c>
      <c r="E74" s="1" t="n">
        <v>0.5714</v>
      </c>
      <c r="F74" s="1" t="n">
        <v>0.62</v>
      </c>
      <c r="G74" s="1" t="n">
        <v>0.5722</v>
      </c>
    </row>
    <row r="75" customFormat="false" ht="13.8" hidden="false" customHeight="false" outlineLevel="0" collapsed="false">
      <c r="A75" s="1" t="s">
        <v>80</v>
      </c>
      <c r="B75" s="1" t="str">
        <f aca="false">IF(  OR(ISNUMBER(SEARCH("SMOTEENN",A75)),ISNUMBER(SEARCH("SMOTETomek",A75))),  "Hybrid",  IF(   AND(    OR(ISNUMBER(SEARCH("SMOTE",A75)),ISNUMBER(SEARCH("SVMSMOTE",A75)),ISNUMBER(SEARCH("RandomOverSampler",A75)),ISNUMBER(SEARCH("BorderlineSmote",A75))),    OR(ISNUMBER(SEARCH("RandomUnderSampler",A75)),ISNUMBER(SEARCH("ClusterCentroids",A75)),ISNUMBER(SEARCH("OneSidedSelection",A75)))   ),   "Over+Under",   IF(    OR(ISNUMBER(SEARCH("SMOTE",A75)),ISNUMBER(SEARCH("SVMSMOTE",A75)),ISNUMBER(SEARCH("RandomOverSampler",A75)),ISNUMBER(SEARCH("BorderlineSmote",A75))),    "Oversampling",    IF(     OR(ISNUMBER(SEARCH("RandomUnderSampler",A75)),ISNUMBER(SEARCH("ClusterCentroids",A75)),ISNUMBER(SEARCH("OneSidedSelection",A75))),     "Undersampler",     "Czysty"    )   )  ) )</f>
        <v>Hybrid</v>
      </c>
      <c r="C75" s="1" t="s">
        <v>14</v>
      </c>
      <c r="D75" s="1" t="n">
        <v>0.6509</v>
      </c>
      <c r="E75" s="1" t="n">
        <v>0.4683</v>
      </c>
      <c r="F75" s="1" t="n">
        <v>0.5494</v>
      </c>
      <c r="G75" s="1" t="n">
        <v>0.4692</v>
      </c>
    </row>
    <row r="76" customFormat="false" ht="13.8" hidden="false" customHeight="false" outlineLevel="0" collapsed="false">
      <c r="A76" s="1" t="s">
        <v>26</v>
      </c>
      <c r="B76" s="1" t="str">
        <f aca="false">IF(  OR(ISNUMBER(SEARCH("SMOTEENN",A76)),ISNUMBER(SEARCH("SMOTETomek",A76))),  "Hybrid",  IF(   AND(    OR(ISNUMBER(SEARCH("SMOTE",A76)),ISNUMBER(SEARCH("SVMSMOTE",A76)),ISNUMBER(SEARCH("RandomOverSampler",A76)),ISNUMBER(SEARCH("BorderlineSmote",A76))),    OR(ISNUMBER(SEARCH("RandomUnderSampler",A76)),ISNUMBER(SEARCH("ClusterCentroids",A76)),ISNUMBER(SEARCH("OneSidedSelection",A76)))   ),   "Over+Under",   IF(    OR(ISNUMBER(SEARCH("SMOTE",A76)),ISNUMBER(SEARCH("SVMSMOTE",A76)),ISNUMBER(SEARCH("RandomOverSampler",A76)),ISNUMBER(SEARCH("BorderlineSmote",A76))),    "Oversampling",    IF(     OR(ISNUMBER(SEARCH("RandomUnderSampler",A76)),ISNUMBER(SEARCH("ClusterCentroids",A76)),ISNUMBER(SEARCH("OneSidedSelection",A76))),     "Undersampler",     "Czysty"    )   )  ) )</f>
        <v>Czysty</v>
      </c>
      <c r="C76" s="1" t="s">
        <v>14</v>
      </c>
      <c r="D76" s="1" t="n">
        <v>0.686</v>
      </c>
      <c r="E76" s="1" t="n">
        <v>0.4659</v>
      </c>
      <c r="F76" s="1" t="n">
        <v>0.5235</v>
      </c>
      <c r="G76" s="1" t="n">
        <v>0.4757</v>
      </c>
    </row>
    <row r="77" customFormat="false" ht="13.8" hidden="false" customHeight="false" outlineLevel="0" collapsed="false">
      <c r="A77" s="1" t="s">
        <v>81</v>
      </c>
      <c r="B77" s="1" t="str">
        <f aca="false">IF(  OR(ISNUMBER(SEARCH("SMOTEENN",A77)),ISNUMBER(SEARCH("SMOTETomek",A77))),  "Hybrid",  IF(   AND(    OR(ISNUMBER(SEARCH("SMOTE",A77)),ISNUMBER(SEARCH("SVMSMOTE",A77)),ISNUMBER(SEARCH("RandomOverSampler",A77)),ISNUMBER(SEARCH("BorderlineSmote",A77))),    OR(ISNUMBER(SEARCH("RandomUnderSampler",A77)),ISNUMBER(SEARCH("ClusterCentroids",A77)),ISNUMBER(SEARCH("OneSidedSelection",A77)))   ),   "Over+Under",   IF(    OR(ISNUMBER(SEARCH("SMOTE",A77)),ISNUMBER(SEARCH("SVMSMOTE",A77)),ISNUMBER(SEARCH("RandomOverSampler",A77)),ISNUMBER(SEARCH("BorderlineSmote",A77))),    "Oversampling",    IF(     OR(ISNUMBER(SEARCH("RandomUnderSampler",A77)),ISNUMBER(SEARCH("ClusterCentroids",A77)),ISNUMBER(SEARCH("OneSidedSelection",A77))),     "Undersampler",     "Czysty"    )   )  ) )</f>
        <v>Oversampling</v>
      </c>
      <c r="C77" s="1" t="s">
        <v>14</v>
      </c>
      <c r="D77" s="1" t="n">
        <v>0.6228</v>
      </c>
      <c r="E77" s="1" t="n">
        <v>0.4403</v>
      </c>
      <c r="F77" s="1" t="n">
        <v>0.5248</v>
      </c>
      <c r="G77" s="1" t="n">
        <v>0.4367</v>
      </c>
    </row>
    <row r="78" customFormat="false" ht="13.8" hidden="false" customHeight="false" outlineLevel="0" collapsed="false">
      <c r="A78" s="1" t="s">
        <v>84</v>
      </c>
      <c r="B78" s="1" t="str">
        <f aca="false">IF(  OR(ISNUMBER(SEARCH("SMOTEENN",A78)),ISNUMBER(SEARCH("SMOTETomek",A78))),  "Hybrid",  IF(   AND(    OR(ISNUMBER(SEARCH("SMOTE",A78)),ISNUMBER(SEARCH("SVMSMOTE",A78)),ISNUMBER(SEARCH("RandomOverSampler",A78)),ISNUMBER(SEARCH("BorderlineSmote",A78))),    OR(ISNUMBER(SEARCH("RandomUnderSampler",A78)),ISNUMBER(SEARCH("ClusterCentroids",A78)),ISNUMBER(SEARCH("OneSidedSelection",A78)))   ),   "Over+Under",   IF(    OR(ISNUMBER(SEARCH("SMOTE",A78)),ISNUMBER(SEARCH("SVMSMOTE",A78)),ISNUMBER(SEARCH("RandomOverSampler",A78)),ISNUMBER(SEARCH("BorderlineSmote",A78))),    "Oversampling",    IF(     OR(ISNUMBER(SEARCH("RandomUnderSampler",A78)),ISNUMBER(SEARCH("ClusterCentroids",A78)),ISNUMBER(SEARCH("OneSidedSelection",A78))),     "Undersampler",     "Czysty"    )   )  ) )</f>
        <v>Over+Under</v>
      </c>
      <c r="C78" s="1" t="s">
        <v>14</v>
      </c>
      <c r="D78" s="1" t="n">
        <v>0.5211</v>
      </c>
      <c r="E78" s="1" t="n">
        <v>0.3533</v>
      </c>
      <c r="F78" s="1" t="n">
        <v>0.4176</v>
      </c>
      <c r="G78" s="1" t="n">
        <v>0.3713</v>
      </c>
    </row>
    <row r="79" customFormat="false" ht="13.8" hidden="false" customHeight="false" outlineLevel="0" collapsed="false">
      <c r="A79" s="1" t="s">
        <v>88</v>
      </c>
      <c r="B79" s="1" t="str">
        <f aca="false">IF(  OR(ISNUMBER(SEARCH("SMOTEENN",A79)),ISNUMBER(SEARCH("SMOTETomek",A79))),  "Hybrid",  IF(   AND(    OR(ISNUMBER(SEARCH("SMOTE",A79)),ISNUMBER(SEARCH("SVMSMOTE",A79)),ISNUMBER(SEARCH("RandomOverSampler",A79)),ISNUMBER(SEARCH("BorderlineSmote",A79))),    OR(ISNUMBER(SEARCH("RandomUnderSampler",A79)),ISNUMBER(SEARCH("ClusterCentroids",A79)),ISNUMBER(SEARCH("OneSidedSelection",A79)))   ),   "Over+Under",   IF(    OR(ISNUMBER(SEARCH("SMOTE",A79)),ISNUMBER(SEARCH("SVMSMOTE",A79)),ISNUMBER(SEARCH("RandomOverSampler",A79)),ISNUMBER(SEARCH("BorderlineSmote",A79))),    "Oversampling",    IF(     OR(ISNUMBER(SEARCH("RandomUnderSampler",A79)),ISNUMBER(SEARCH("ClusterCentroids",A79)),ISNUMBER(SEARCH("OneSidedSelection",A79))),     "Undersampler",     "Czysty"    )   )  ) )</f>
        <v>Over+Under</v>
      </c>
      <c r="C79" s="1" t="s">
        <v>14</v>
      </c>
      <c r="D79" s="1" t="n">
        <v>0.514</v>
      </c>
      <c r="E79" s="1" t="n">
        <v>0.353</v>
      </c>
      <c r="F79" s="1" t="n">
        <v>0.3924</v>
      </c>
      <c r="G79" s="1" t="n">
        <v>0.3688</v>
      </c>
    </row>
    <row r="80" customFormat="false" ht="13.8" hidden="false" customHeight="false" outlineLevel="0" collapsed="false">
      <c r="A80" s="1" t="s">
        <v>83</v>
      </c>
      <c r="B80" s="1" t="str">
        <f aca="false">IF(  OR(ISNUMBER(SEARCH("SMOTEENN",A80)),ISNUMBER(SEARCH("SMOTETomek",A80))),  "Hybrid",  IF(   AND(    OR(ISNUMBER(SEARCH("SMOTE",A80)),ISNUMBER(SEARCH("SVMSMOTE",A80)),ISNUMBER(SEARCH("RandomOverSampler",A80)),ISNUMBER(SEARCH("BorderlineSmote",A80))),    OR(ISNUMBER(SEARCH("RandomUnderSampler",A80)),ISNUMBER(SEARCH("ClusterCentroids",A80)),ISNUMBER(SEARCH("OneSidedSelection",A80)))   ),   "Over+Under",   IF(    OR(ISNUMBER(SEARCH("SMOTE",A80)),ISNUMBER(SEARCH("SVMSMOTE",A80)),ISNUMBER(SEARCH("RandomOverSampler",A80)),ISNUMBER(SEARCH("BorderlineSmote",A80))),    "Oversampling",    IF(     OR(ISNUMBER(SEARCH("RandomUnderSampler",A80)),ISNUMBER(SEARCH("ClusterCentroids",A80)),ISNUMBER(SEARCH("OneSidedSelection",A80))),     "Undersampler",     "Czysty"    )   )  ) )</f>
        <v>Over+Under</v>
      </c>
      <c r="C80" s="1" t="s">
        <v>14</v>
      </c>
      <c r="D80" s="1" t="n">
        <v>0.4298</v>
      </c>
      <c r="E80" s="1" t="n">
        <v>0.3343</v>
      </c>
      <c r="F80" s="1" t="n">
        <v>0.3876</v>
      </c>
      <c r="G80" s="1" t="n">
        <v>0.3234</v>
      </c>
    </row>
    <row r="81" customFormat="false" ht="13.8" hidden="false" customHeight="false" outlineLevel="0" collapsed="false">
      <c r="A81" s="1" t="s">
        <v>82</v>
      </c>
      <c r="B81" s="1" t="str">
        <f aca="false">IF(  OR(ISNUMBER(SEARCH("SMOTEENN",A81)),ISNUMBER(SEARCH("SMOTETomek",A81))),  "Hybrid",  IF(   AND(    OR(ISNUMBER(SEARCH("SMOTE",A81)),ISNUMBER(SEARCH("SVMSMOTE",A81)),ISNUMBER(SEARCH("RandomOverSampler",A81)),ISNUMBER(SEARCH("BorderlineSmote",A81))),    OR(ISNUMBER(SEARCH("RandomUnderSampler",A81)),ISNUMBER(SEARCH("ClusterCentroids",A81)),ISNUMBER(SEARCH("OneSidedSelection",A81)))   ),   "Over+Under",   IF(    OR(ISNUMBER(SEARCH("SMOTE",A81)),ISNUMBER(SEARCH("SVMSMOTE",A81)),ISNUMBER(SEARCH("RandomOverSampler",A81)),ISNUMBER(SEARCH("BorderlineSmote",A81))),    "Oversampling",    IF(     OR(ISNUMBER(SEARCH("RandomUnderSampler",A81)),ISNUMBER(SEARCH("ClusterCentroids",A81)),ISNUMBER(SEARCH("OneSidedSelection",A81))),     "Undersampler",     "Czysty"    )   )  ) )</f>
        <v>Over+Under</v>
      </c>
      <c r="C81" s="1" t="s">
        <v>14</v>
      </c>
      <c r="D81" s="1" t="n">
        <v>0.3877</v>
      </c>
      <c r="E81" s="1" t="n">
        <v>0.3068</v>
      </c>
      <c r="F81" s="1" t="n">
        <v>0.3499</v>
      </c>
      <c r="G81" s="1" t="n">
        <v>0.3148</v>
      </c>
    </row>
    <row r="82" customFormat="false" ht="13.8" hidden="false" customHeight="false" outlineLevel="0" collapsed="false">
      <c r="A82" s="1" t="s">
        <v>85</v>
      </c>
      <c r="B82" s="1" t="str">
        <f aca="false">IF(  OR(ISNUMBER(SEARCH("SMOTEENN",A82)),ISNUMBER(SEARCH("SMOTETomek",A82))),  "Hybrid",  IF(   AND(    OR(ISNUMBER(SEARCH("SMOTE",A82)),ISNUMBER(SEARCH("SVMSMOTE",A82)),ISNUMBER(SEARCH("RandomOverSampler",A82)),ISNUMBER(SEARCH("BorderlineSmote",A82))),    OR(ISNUMBER(SEARCH("RandomUnderSampler",A82)),ISNUMBER(SEARCH("ClusterCentroids",A82)),ISNUMBER(SEARCH("OneSidedSelection",A82)))   ),   "Over+Under",   IF(    OR(ISNUMBER(SEARCH("SMOTE",A82)),ISNUMBER(SEARCH("SVMSMOTE",A82)),ISNUMBER(SEARCH("RandomOverSampler",A82)),ISNUMBER(SEARCH("BorderlineSmote",A82))),    "Oversampling",    IF(     OR(ISNUMBER(SEARCH("RandomUnderSampler",A82)),ISNUMBER(SEARCH("ClusterCentroids",A82)),ISNUMBER(SEARCH("OneSidedSelection",A82))),     "Undersampler",     "Czysty"    )   )  ) )</f>
        <v>Over+Under</v>
      </c>
      <c r="C82" s="1" t="s">
        <v>14</v>
      </c>
      <c r="D82" s="1" t="n">
        <v>0.286</v>
      </c>
      <c r="E82" s="1" t="n">
        <v>0.2233</v>
      </c>
      <c r="F82" s="1" t="n">
        <v>0.2769</v>
      </c>
      <c r="G82" s="1" t="n">
        <v>0.2709</v>
      </c>
    </row>
    <row r="83" customFormat="false" ht="13.8" hidden="false" customHeight="false" outlineLevel="0" collapsed="false">
      <c r="A83" s="1" t="s">
        <v>86</v>
      </c>
      <c r="B83" s="1" t="str">
        <f aca="false">IF(  OR(ISNUMBER(SEARCH("SMOTEENN",A83)),ISNUMBER(SEARCH("SMOTETomek",A83))),  "Hybrid",  IF(   AND(    OR(ISNUMBER(SEARCH("SMOTE",A83)),ISNUMBER(SEARCH("SVMSMOTE",A83)),ISNUMBER(SEARCH("RandomOverSampler",A83)),ISNUMBER(SEARCH("BorderlineSmote",A83))),    OR(ISNUMBER(SEARCH("RandomUnderSampler",A83)),ISNUMBER(SEARCH("ClusterCentroids",A83)),ISNUMBER(SEARCH("OneSidedSelection",A83)))   ),   "Over+Under",   IF(    OR(ISNUMBER(SEARCH("SMOTE",A83)),ISNUMBER(SEARCH("SVMSMOTE",A83)),ISNUMBER(SEARCH("RandomOverSampler",A83)),ISNUMBER(SEARCH("BorderlineSmote",A83))),    "Oversampling",    IF(     OR(ISNUMBER(SEARCH("RandomUnderSampler",A83)),ISNUMBER(SEARCH("ClusterCentroids",A83)),ISNUMBER(SEARCH("OneSidedSelection",A83))),     "Undersampler",     "Czysty"    )   )  ) )</f>
        <v>Over+Under</v>
      </c>
      <c r="C83" s="1" t="s">
        <v>14</v>
      </c>
      <c r="D83" s="1" t="n">
        <v>0.207</v>
      </c>
      <c r="E83" s="1" t="n">
        <v>0.1875</v>
      </c>
      <c r="F83" s="1" t="n">
        <v>0.2643</v>
      </c>
      <c r="G83" s="1" t="n">
        <v>0.2309</v>
      </c>
    </row>
    <row r="84" customFormat="false" ht="13.8" hidden="false" customHeight="false" outlineLevel="0" collapsed="false">
      <c r="A84" s="1" t="s">
        <v>87</v>
      </c>
      <c r="B84" s="1" t="str">
        <f aca="false">IF(  OR(ISNUMBER(SEARCH("SMOTEENN",A84)),ISNUMBER(SEARCH("SMOTETomek",A84))),  "Hybrid",  IF(   AND(    OR(ISNUMBER(SEARCH("SMOTE",A84)),ISNUMBER(SEARCH("SVMSMOTE",A84)),ISNUMBER(SEARCH("RandomOverSampler",A84)),ISNUMBER(SEARCH("BorderlineSmote",A84))),    OR(ISNUMBER(SEARCH("RandomUnderSampler",A84)),ISNUMBER(SEARCH("ClusterCentroids",A84)),ISNUMBER(SEARCH("OneSidedSelection",A84)))   ),   "Over+Under",   IF(    OR(ISNUMBER(SEARCH("SMOTE",A84)),ISNUMBER(SEARCH("SVMSMOTE",A84)),ISNUMBER(SEARCH("RandomOverSampler",A84)),ISNUMBER(SEARCH("BorderlineSmote",A84))),    "Oversampling",    IF(     OR(ISNUMBER(SEARCH("RandomUnderSampler",A84)),ISNUMBER(SEARCH("ClusterCentroids",A84)),ISNUMBER(SEARCH("OneSidedSelection",A84))),     "Undersampler",     "Czysty"    )   )  ) )</f>
        <v>Hybrid</v>
      </c>
      <c r="C84" s="1" t="s">
        <v>14</v>
      </c>
      <c r="D84" s="1" t="n">
        <v>0.1491</v>
      </c>
      <c r="E84" s="1" t="n">
        <v>0.0871</v>
      </c>
      <c r="F84" s="1" t="n">
        <v>0.0839</v>
      </c>
      <c r="G84" s="1" t="n">
        <v>0.1876</v>
      </c>
    </row>
    <row r="85" customFormat="false" ht="13.8" hidden="false" customHeight="false" outlineLevel="0" collapsed="false">
      <c r="A85" s="1" t="s">
        <v>81</v>
      </c>
      <c r="B85" s="1" t="str">
        <f aca="false">IF(  OR(ISNUMBER(SEARCH("SMOTEENN",A85)),ISNUMBER(SEARCH("SMOTETomek",A85))),  "Hybrid",  IF(   AND(    OR(ISNUMBER(SEARCH("SMOTE",A85)),ISNUMBER(SEARCH("SVMSMOTE",A85)),ISNUMBER(SEARCH("RandomOverSampler",A85)),ISNUMBER(SEARCH("BorderlineSmote",A85))),    OR(ISNUMBER(SEARCH("RandomUnderSampler",A85)),ISNUMBER(SEARCH("ClusterCentroids",A85)),ISNUMBER(SEARCH("OneSidedSelection",A85)))   ),   "Over+Under",   IF(    OR(ISNUMBER(SEARCH("SMOTE",A85)),ISNUMBER(SEARCH("SVMSMOTE",A85)),ISNUMBER(SEARCH("RandomOverSampler",A85)),ISNUMBER(SEARCH("BorderlineSmote",A85))),    "Oversampling",    IF(     OR(ISNUMBER(SEARCH("RandomUnderSampler",A85)),ISNUMBER(SEARCH("ClusterCentroids",A85)),ISNUMBER(SEARCH("OneSidedSelection",A85))),     "Undersampler",     "Czysty"    )   )  ) )</f>
        <v>Oversampling</v>
      </c>
      <c r="C85" s="1" t="s">
        <v>74</v>
      </c>
      <c r="D85" s="1" t="n">
        <v>0.6789</v>
      </c>
      <c r="E85" s="1" t="n">
        <v>0.4939</v>
      </c>
      <c r="F85" s="1" t="n">
        <v>0.5426</v>
      </c>
      <c r="G85" s="1" t="n">
        <v>0.4982</v>
      </c>
    </row>
    <row r="86" customFormat="false" ht="13.8" hidden="false" customHeight="false" outlineLevel="0" collapsed="false">
      <c r="A86" s="1" t="s">
        <v>26</v>
      </c>
      <c r="B86" s="1" t="str">
        <f aca="false">IF(  OR(ISNUMBER(SEARCH("SMOTEENN",A86)),ISNUMBER(SEARCH("SMOTETomek",A86))),  "Hybrid",  IF(   AND(    OR(ISNUMBER(SEARCH("SMOTE",A86)),ISNUMBER(SEARCH("SVMSMOTE",A86)),ISNUMBER(SEARCH("RandomOverSampler",A86)),ISNUMBER(SEARCH("BorderlineSmote",A86))),    OR(ISNUMBER(SEARCH("RandomUnderSampler",A86)),ISNUMBER(SEARCH("ClusterCentroids",A86)),ISNUMBER(SEARCH("OneSidedSelection",A86)))   ),   "Over+Under",   IF(    OR(ISNUMBER(SEARCH("SMOTE",A86)),ISNUMBER(SEARCH("SVMSMOTE",A86)),ISNUMBER(SEARCH("RandomOverSampler",A86)),ISNUMBER(SEARCH("BorderlineSmote",A86))),    "Oversampling",    IF(     OR(ISNUMBER(SEARCH("RandomUnderSampler",A86)),ISNUMBER(SEARCH("ClusterCentroids",A86)),ISNUMBER(SEARCH("OneSidedSelection",A86))),     "Undersampler",     "Czysty"    )   )  ) )</f>
        <v>Czysty</v>
      </c>
      <c r="C86" s="1" t="s">
        <v>74</v>
      </c>
      <c r="D86" s="1" t="n">
        <v>0.7035</v>
      </c>
      <c r="E86" s="1" t="n">
        <v>0.4622</v>
      </c>
      <c r="F86" s="1" t="n">
        <v>0.4992</v>
      </c>
      <c r="G86" s="1" t="n">
        <v>0.4746</v>
      </c>
    </row>
    <row r="87" customFormat="false" ht="13.8" hidden="false" customHeight="false" outlineLevel="0" collapsed="false">
      <c r="A87" s="1" t="s">
        <v>79</v>
      </c>
      <c r="B87" s="1" t="str">
        <f aca="false">IF(  OR(ISNUMBER(SEARCH("SMOTEENN",A87)),ISNUMBER(SEARCH("SMOTETomek",A87))),  "Hybrid",  IF(   AND(    OR(ISNUMBER(SEARCH("SMOTE",A87)),ISNUMBER(SEARCH("SVMSMOTE",A87)),ISNUMBER(SEARCH("RandomOverSampler",A87)),ISNUMBER(SEARCH("BorderlineSmote",A87))),    OR(ISNUMBER(SEARCH("RandomUnderSampler",A87)),ISNUMBER(SEARCH("ClusterCentroids",A87)),ISNUMBER(SEARCH("OneSidedSelection",A87)))   ),   "Over+Under",   IF(    OR(ISNUMBER(SEARCH("SMOTE",A87)),ISNUMBER(SEARCH("SVMSMOTE",A87)),ISNUMBER(SEARCH("RandomOverSampler",A87)),ISNUMBER(SEARCH("BorderlineSmote",A87))),    "Oversampling",    IF(     OR(ISNUMBER(SEARCH("RandomUnderSampler",A87)),ISNUMBER(SEARCH("ClusterCentroids",A87)),ISNUMBER(SEARCH("OneSidedSelection",A87))),     "Undersampler",     "Czysty"    )   )  ) )</f>
        <v>Oversampling</v>
      </c>
      <c r="C87" s="1" t="s">
        <v>74</v>
      </c>
      <c r="D87" s="1" t="n">
        <v>0.5754</v>
      </c>
      <c r="E87" s="1" t="n">
        <v>0.4569</v>
      </c>
      <c r="F87" s="1" t="n">
        <v>0.5663</v>
      </c>
      <c r="G87" s="1" t="n">
        <v>0.4749</v>
      </c>
    </row>
    <row r="88" customFormat="false" ht="13.8" hidden="false" customHeight="false" outlineLevel="0" collapsed="false">
      <c r="A88" s="1" t="s">
        <v>80</v>
      </c>
      <c r="B88" s="1" t="str">
        <f aca="false">IF(  OR(ISNUMBER(SEARCH("SMOTEENN",A88)),ISNUMBER(SEARCH("SMOTETomek",A88))),  "Hybrid",  IF(   AND(    OR(ISNUMBER(SEARCH("SMOTE",A88)),ISNUMBER(SEARCH("SVMSMOTE",A88)),ISNUMBER(SEARCH("RandomOverSampler",A88)),ISNUMBER(SEARCH("BorderlineSmote",A88))),    OR(ISNUMBER(SEARCH("RandomUnderSampler",A88)),ISNUMBER(SEARCH("ClusterCentroids",A88)),ISNUMBER(SEARCH("OneSidedSelection",A88)))   ),   "Over+Under",   IF(    OR(ISNUMBER(SEARCH("SMOTE",A88)),ISNUMBER(SEARCH("SVMSMOTE",A88)),ISNUMBER(SEARCH("RandomOverSampler",A88)),ISNUMBER(SEARCH("BorderlineSmote",A88))),    "Oversampling",    IF(     OR(ISNUMBER(SEARCH("RandomUnderSampler",A88)),ISNUMBER(SEARCH("ClusterCentroids",A88)),ISNUMBER(SEARCH("OneSidedSelection",A88))),     "Undersampler",     "Czysty"    )   )  ) )</f>
        <v>Hybrid</v>
      </c>
      <c r="C88" s="1" t="s">
        <v>74</v>
      </c>
      <c r="D88" s="1" t="n">
        <v>0.6263</v>
      </c>
      <c r="E88" s="1" t="n">
        <v>0.43</v>
      </c>
      <c r="F88" s="1" t="n">
        <v>0.4397</v>
      </c>
      <c r="G88" s="1" t="n">
        <v>0.4721</v>
      </c>
    </row>
    <row r="89" customFormat="false" ht="13.8" hidden="false" customHeight="false" outlineLevel="0" collapsed="false">
      <c r="A89" s="1" t="s">
        <v>83</v>
      </c>
      <c r="B89" s="1" t="str">
        <f aca="false">IF(  OR(ISNUMBER(SEARCH("SMOTEENN",A89)),ISNUMBER(SEARCH("SMOTETomek",A89))),  "Hybrid",  IF(   AND(    OR(ISNUMBER(SEARCH("SMOTE",A89)),ISNUMBER(SEARCH("SVMSMOTE",A89)),ISNUMBER(SEARCH("RandomOverSampler",A89)),ISNUMBER(SEARCH("BorderlineSmote",A89))),    OR(ISNUMBER(SEARCH("RandomUnderSampler",A89)),ISNUMBER(SEARCH("ClusterCentroids",A89)),ISNUMBER(SEARCH("OneSidedSelection",A89)))   ),   "Over+Under",   IF(    OR(ISNUMBER(SEARCH("SMOTE",A89)),ISNUMBER(SEARCH("SVMSMOTE",A89)),ISNUMBER(SEARCH("RandomOverSampler",A89)),ISNUMBER(SEARCH("BorderlineSmote",A89))),    "Oversampling",    IF(     OR(ISNUMBER(SEARCH("RandomUnderSampler",A89)),ISNUMBER(SEARCH("ClusterCentroids",A89)),ISNUMBER(SEARCH("OneSidedSelection",A89))),     "Undersampler",     "Czysty"    )   )  ) )</f>
        <v>Over+Under</v>
      </c>
      <c r="C89" s="1" t="s">
        <v>74</v>
      </c>
      <c r="D89" s="1" t="n">
        <v>0.4825</v>
      </c>
      <c r="E89" s="1" t="n">
        <v>0.4098</v>
      </c>
      <c r="F89" s="1" t="n">
        <v>0.4695</v>
      </c>
      <c r="G89" s="1" t="n">
        <v>0.4036</v>
      </c>
    </row>
    <row r="90" customFormat="false" ht="13.8" hidden="false" customHeight="false" outlineLevel="0" collapsed="false">
      <c r="A90" s="1" t="s">
        <v>82</v>
      </c>
      <c r="B90" s="1" t="str">
        <f aca="false">IF(  OR(ISNUMBER(SEARCH("SMOTEENN",A90)),ISNUMBER(SEARCH("SMOTETomek",A90))),  "Hybrid",  IF(   AND(    OR(ISNUMBER(SEARCH("SMOTE",A90)),ISNUMBER(SEARCH("SVMSMOTE",A90)),ISNUMBER(SEARCH("RandomOverSampler",A90)),ISNUMBER(SEARCH("BorderlineSmote",A90))),    OR(ISNUMBER(SEARCH("RandomUnderSampler",A90)),ISNUMBER(SEARCH("ClusterCentroids",A90)),ISNUMBER(SEARCH("OneSidedSelection",A90)))   ),   "Over+Under",   IF(    OR(ISNUMBER(SEARCH("SMOTE",A90)),ISNUMBER(SEARCH("SVMSMOTE",A90)),ISNUMBER(SEARCH("RandomOverSampler",A90)),ISNUMBER(SEARCH("BorderlineSmote",A90))),    "Oversampling",    IF(     OR(ISNUMBER(SEARCH("RandomUnderSampler",A90)),ISNUMBER(SEARCH("ClusterCentroids",A90)),ISNUMBER(SEARCH("OneSidedSelection",A90))),     "Undersampler",     "Czysty"    )   )  ) )</f>
        <v>Over+Under</v>
      </c>
      <c r="C90" s="1" t="s">
        <v>74</v>
      </c>
      <c r="D90" s="1" t="n">
        <v>0.4439</v>
      </c>
      <c r="E90" s="1" t="n">
        <v>0.3785</v>
      </c>
      <c r="F90" s="1" t="n">
        <v>0.4431</v>
      </c>
      <c r="G90" s="1" t="n">
        <v>0.3706</v>
      </c>
    </row>
    <row r="91" customFormat="false" ht="13.8" hidden="false" customHeight="false" outlineLevel="0" collapsed="false">
      <c r="A91" s="1" t="s">
        <v>88</v>
      </c>
      <c r="B91" s="1" t="str">
        <f aca="false">IF(  OR(ISNUMBER(SEARCH("SMOTEENN",A91)),ISNUMBER(SEARCH("SMOTETomek",A91))),  "Hybrid",  IF(   AND(    OR(ISNUMBER(SEARCH("SMOTE",A91)),ISNUMBER(SEARCH("SVMSMOTE",A91)),ISNUMBER(SEARCH("RandomOverSampler",A91)),ISNUMBER(SEARCH("BorderlineSmote",A91))),    OR(ISNUMBER(SEARCH("RandomUnderSampler",A91)),ISNUMBER(SEARCH("ClusterCentroids",A91)),ISNUMBER(SEARCH("OneSidedSelection",A91)))   ),   "Over+Under",   IF(    OR(ISNUMBER(SEARCH("SMOTE",A91)),ISNUMBER(SEARCH("SVMSMOTE",A91)),ISNUMBER(SEARCH("RandomOverSampler",A91)),ISNUMBER(SEARCH("BorderlineSmote",A91))),    "Oversampling",    IF(     OR(ISNUMBER(SEARCH("RandomUnderSampler",A91)),ISNUMBER(SEARCH("ClusterCentroids",A91)),ISNUMBER(SEARCH("OneSidedSelection",A91))),     "Undersampler",     "Czysty"    )   )  ) )</f>
        <v>Over+Under</v>
      </c>
      <c r="C91" s="1" t="s">
        <v>74</v>
      </c>
      <c r="D91" s="1" t="n">
        <v>0.5368</v>
      </c>
      <c r="E91" s="1" t="n">
        <v>0.3542</v>
      </c>
      <c r="F91" s="1" t="n">
        <v>0.3953</v>
      </c>
      <c r="G91" s="1" t="n">
        <v>0.3846</v>
      </c>
    </row>
    <row r="92" customFormat="false" ht="13.8" hidden="false" customHeight="false" outlineLevel="0" collapsed="false">
      <c r="A92" s="1" t="s">
        <v>84</v>
      </c>
      <c r="B92" s="1" t="str">
        <f aca="false">IF(  OR(ISNUMBER(SEARCH("SMOTEENN",A92)),ISNUMBER(SEARCH("SMOTETomek",A92))),  "Hybrid",  IF(   AND(    OR(ISNUMBER(SEARCH("SMOTE",A92)),ISNUMBER(SEARCH("SVMSMOTE",A92)),ISNUMBER(SEARCH("RandomOverSampler",A92)),ISNUMBER(SEARCH("BorderlineSmote",A92))),    OR(ISNUMBER(SEARCH("RandomUnderSampler",A92)),ISNUMBER(SEARCH("ClusterCentroids",A92)),ISNUMBER(SEARCH("OneSidedSelection",A92)))   ),   "Over+Under",   IF(    OR(ISNUMBER(SEARCH("SMOTE",A92)),ISNUMBER(SEARCH("SVMSMOTE",A92)),ISNUMBER(SEARCH("RandomOverSampler",A92)),ISNUMBER(SEARCH("BorderlineSmote",A92))),    "Oversampling",    IF(     OR(ISNUMBER(SEARCH("RandomUnderSampler",A92)),ISNUMBER(SEARCH("ClusterCentroids",A92)),ISNUMBER(SEARCH("OneSidedSelection",A92))),     "Undersampler",     "Czysty"    )   )  ) )</f>
        <v>Over+Under</v>
      </c>
      <c r="C92" s="1" t="s">
        <v>74</v>
      </c>
      <c r="D92" s="1" t="n">
        <v>0.5281</v>
      </c>
      <c r="E92" s="1" t="n">
        <v>0.3443</v>
      </c>
      <c r="F92" s="1" t="n">
        <v>0.4514</v>
      </c>
      <c r="G92" s="1" t="n">
        <v>0.3602</v>
      </c>
    </row>
    <row r="93" customFormat="false" ht="13.8" hidden="false" customHeight="false" outlineLevel="0" collapsed="false">
      <c r="A93" s="1" t="s">
        <v>86</v>
      </c>
      <c r="B93" s="1" t="str">
        <f aca="false">IF(  OR(ISNUMBER(SEARCH("SMOTEENN",A93)),ISNUMBER(SEARCH("SMOTETomek",A93))),  "Hybrid",  IF(   AND(    OR(ISNUMBER(SEARCH("SMOTE",A93)),ISNUMBER(SEARCH("SVMSMOTE",A93)),ISNUMBER(SEARCH("RandomOverSampler",A93)),ISNUMBER(SEARCH("BorderlineSmote",A93))),    OR(ISNUMBER(SEARCH("RandomUnderSampler",A93)),ISNUMBER(SEARCH("ClusterCentroids",A93)),ISNUMBER(SEARCH("OneSidedSelection",A93)))   ),   "Over+Under",   IF(    OR(ISNUMBER(SEARCH("SMOTE",A93)),ISNUMBER(SEARCH("SVMSMOTE",A93)),ISNUMBER(SEARCH("RandomOverSampler",A93)),ISNUMBER(SEARCH("BorderlineSmote",A93))),    "Oversampling",    IF(     OR(ISNUMBER(SEARCH("RandomUnderSampler",A93)),ISNUMBER(SEARCH("ClusterCentroids",A93)),ISNUMBER(SEARCH("OneSidedSelection",A93))),     "Undersampler",     "Czysty"    )   )  ) )</f>
        <v>Over+Under</v>
      </c>
      <c r="C93" s="1" t="s">
        <v>74</v>
      </c>
      <c r="D93" s="1" t="n">
        <v>0.2316</v>
      </c>
      <c r="E93" s="1" t="n">
        <v>0.2012</v>
      </c>
      <c r="F93" s="1" t="n">
        <v>0.3152</v>
      </c>
      <c r="G93" s="1" t="n">
        <v>0.2682</v>
      </c>
    </row>
    <row r="94" customFormat="false" ht="13.8" hidden="false" customHeight="false" outlineLevel="0" collapsed="false">
      <c r="A94" s="1" t="s">
        <v>85</v>
      </c>
      <c r="B94" s="1" t="str">
        <f aca="false">IF(  OR(ISNUMBER(SEARCH("SMOTEENN",A94)),ISNUMBER(SEARCH("SMOTETomek",A94))),  "Hybrid",  IF(   AND(    OR(ISNUMBER(SEARCH("SMOTE",A94)),ISNUMBER(SEARCH("SVMSMOTE",A94)),ISNUMBER(SEARCH("RandomOverSampler",A94)),ISNUMBER(SEARCH("BorderlineSmote",A94))),    OR(ISNUMBER(SEARCH("RandomUnderSampler",A94)),ISNUMBER(SEARCH("ClusterCentroids",A94)),ISNUMBER(SEARCH("OneSidedSelection",A94)))   ),   "Over+Under",   IF(    OR(ISNUMBER(SEARCH("SMOTE",A94)),ISNUMBER(SEARCH("SVMSMOTE",A94)),ISNUMBER(SEARCH("RandomOverSampler",A94)),ISNUMBER(SEARCH("BorderlineSmote",A94))),    "Oversampling",    IF(     OR(ISNUMBER(SEARCH("RandomUnderSampler",A94)),ISNUMBER(SEARCH("ClusterCentroids",A94)),ISNUMBER(SEARCH("OneSidedSelection",A94))),     "Undersampler",     "Czysty"    )   )  ) )</f>
        <v>Over+Under</v>
      </c>
      <c r="C94" s="1" t="s">
        <v>74</v>
      </c>
      <c r="D94" s="1" t="n">
        <v>0.1842</v>
      </c>
      <c r="E94" s="1" t="n">
        <v>0.1658</v>
      </c>
      <c r="F94" s="1" t="n">
        <v>0.2268</v>
      </c>
      <c r="G94" s="1" t="n">
        <v>0.1885</v>
      </c>
    </row>
    <row r="95" customFormat="false" ht="13.8" hidden="false" customHeight="false" outlineLevel="0" collapsed="false">
      <c r="A95" s="1" t="s">
        <v>87</v>
      </c>
      <c r="B95" s="1" t="str">
        <f aca="false">IF(  OR(ISNUMBER(SEARCH("SMOTEENN",A95)),ISNUMBER(SEARCH("SMOTETomek",A95))),  "Hybrid",  IF(   AND(    OR(ISNUMBER(SEARCH("SMOTE",A95)),ISNUMBER(SEARCH("SVMSMOTE",A95)),ISNUMBER(SEARCH("RandomOverSampler",A95)),ISNUMBER(SEARCH("BorderlineSmote",A95))),    OR(ISNUMBER(SEARCH("RandomUnderSampler",A95)),ISNUMBER(SEARCH("ClusterCentroids",A95)),ISNUMBER(SEARCH("OneSidedSelection",A95)))   ),   "Over+Under",   IF(    OR(ISNUMBER(SEARCH("SMOTE",A95)),ISNUMBER(SEARCH("SVMSMOTE",A95)),ISNUMBER(SEARCH("RandomOverSampler",A95)),ISNUMBER(SEARCH("BorderlineSmote",A95))),    "Oversampling",    IF(     OR(ISNUMBER(SEARCH("RandomUnderSampler",A95)),ISNUMBER(SEARCH("ClusterCentroids",A95)),ISNUMBER(SEARCH("OneSidedSelection",A95))),     "Undersampler",     "Czysty"    )   )  ) )</f>
        <v>Hybrid</v>
      </c>
      <c r="C95" s="1" t="s">
        <v>74</v>
      </c>
      <c r="D95" s="1" t="n">
        <v>0.1175</v>
      </c>
      <c r="E95" s="1" t="n">
        <v>0.077</v>
      </c>
      <c r="F95" s="1" t="n">
        <v>0.0895</v>
      </c>
      <c r="G95" s="1" t="n">
        <v>0.1533</v>
      </c>
    </row>
    <row r="97" customFormat="false" ht="13.8" hidden="false" customHeight="false" outlineLevel="0" collapsed="false">
      <c r="A97" s="1" t="s">
        <v>75</v>
      </c>
      <c r="D97" s="1" t="n">
        <f aca="false">ROUND(STDEV(D4:D13, D26:D36, D50:D60, D74:D84), 5)</f>
        <v>0.27419</v>
      </c>
      <c r="E97" s="1" t="n">
        <f aca="false">ROUND(STDEV(E4:E13, E26:E36, E50:E60, E74:E84), 5)</f>
        <v>0.21077</v>
      </c>
      <c r="F97" s="1" t="n">
        <f aca="false">ROUND(STDEV(F4:F13, F26:F36, F50:F60, F74:F84), 5)</f>
        <v>0.21301</v>
      </c>
      <c r="G97" s="1" t="n">
        <f aca="false">ROUND(STDEV(G4:G13, G26:G36, G50:G60, G74:G84), 5)</f>
        <v>0.17895</v>
      </c>
    </row>
    <row r="98" customFormat="false" ht="13.8" hidden="false" customHeight="false" outlineLevel="0" collapsed="false">
      <c r="A98" s="1" t="s">
        <v>76</v>
      </c>
      <c r="D98" s="1" t="n">
        <f aca="false">ROUND(STDEV(D14:D23, D37:D47, D61:D71, D85:D95), 5)</f>
        <v>0.27215</v>
      </c>
      <c r="E98" s="1" t="n">
        <f aca="false">ROUND(STDEV(E14:E23, E37:E47, E61:E71, E85:E95), 5)</f>
        <v>0.20817</v>
      </c>
      <c r="F98" s="1" t="n">
        <f aca="false">ROUND(STDEV(F14:F23, F37:F47, F61:F71, F85:F95), 5)</f>
        <v>0.20943</v>
      </c>
      <c r="G98" s="1" t="n">
        <f aca="false">ROUND(STDEV(G14:G23, G37:G47, G61:G71, G85:G95), 5)</f>
        <v>0.17573</v>
      </c>
    </row>
  </sheetData>
  <mergeCells count="5">
    <mergeCell ref="A1:G1"/>
    <mergeCell ref="A2:G2"/>
    <mergeCell ref="A25:G25"/>
    <mergeCell ref="A49:G49"/>
    <mergeCell ref="A73:G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true" showOutlineSymbols="true" defaultGridColor="true" view="normal" topLeftCell="C10" colorId="64" zoomScale="120" zoomScaleNormal="120" zoomScalePageLayoutView="100" workbookViewId="0">
      <selection pane="topLeft" activeCell="G32" activeCellId="0" sqref="G3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7.54"/>
    <col collapsed="false" customWidth="true" hidden="false" outlineLevel="0" max="3" min="3" style="0" width="22.75"/>
  </cols>
  <sheetData>
    <row r="1" customFormat="false" ht="13.8" hidden="false" customHeight="false" outlineLevel="0" collapsed="false">
      <c r="A1" s="0" t="s">
        <v>0</v>
      </c>
      <c r="B1" s="0" t="s">
        <v>89</v>
      </c>
      <c r="C1" s="0" t="s">
        <v>14</v>
      </c>
      <c r="D1" s="0" t="n">
        <v>0.633</v>
      </c>
      <c r="F1" s="0" t="n">
        <f aca="false">MAX(D1:D8)</f>
        <v>0.7032</v>
      </c>
      <c r="H1" s="0" t="s">
        <v>0</v>
      </c>
      <c r="I1" s="0" t="s">
        <v>90</v>
      </c>
      <c r="J1" s="0" t="s">
        <v>14</v>
      </c>
      <c r="K1" s="0" t="n">
        <v>0.7032</v>
      </c>
    </row>
    <row r="2" customFormat="false" ht="13.8" hidden="false" customHeight="false" outlineLevel="0" collapsed="false">
      <c r="A2" s="0" t="s">
        <v>0</v>
      </c>
      <c r="B2" s="0" t="s">
        <v>89</v>
      </c>
      <c r="C2" s="0" t="s">
        <v>74</v>
      </c>
      <c r="D2" s="0" t="n">
        <v>0.6504</v>
      </c>
      <c r="H2" s="0" t="s">
        <v>0</v>
      </c>
      <c r="I2" s="5" t="s">
        <v>90</v>
      </c>
      <c r="J2" s="0" t="s">
        <v>74</v>
      </c>
      <c r="K2" s="0" t="n">
        <v>0.6887</v>
      </c>
    </row>
    <row r="3" customFormat="false" ht="13.8" hidden="false" customHeight="false" outlineLevel="0" collapsed="false">
      <c r="A3" s="0" t="s">
        <v>0</v>
      </c>
      <c r="B3" s="0" t="s">
        <v>90</v>
      </c>
      <c r="C3" s="0" t="s">
        <v>14</v>
      </c>
      <c r="D3" s="0" t="n">
        <v>0.7032</v>
      </c>
      <c r="H3" s="0" t="s">
        <v>91</v>
      </c>
      <c r="I3" s="5" t="s">
        <v>92</v>
      </c>
      <c r="J3" s="0" t="s">
        <v>14</v>
      </c>
      <c r="K3" s="0" t="n">
        <v>0.654</v>
      </c>
    </row>
    <row r="4" customFormat="false" ht="13.8" hidden="false" customHeight="false" outlineLevel="0" collapsed="false">
      <c r="A4" s="0" t="s">
        <v>0</v>
      </c>
      <c r="B4" s="5" t="s">
        <v>90</v>
      </c>
      <c r="C4" s="0" t="s">
        <v>74</v>
      </c>
      <c r="D4" s="0" t="n">
        <v>0.6887</v>
      </c>
      <c r="H4" s="0" t="s">
        <v>91</v>
      </c>
      <c r="I4" s="5" t="s">
        <v>92</v>
      </c>
      <c r="J4" s="0" t="s">
        <v>74</v>
      </c>
      <c r="K4" s="0" t="n">
        <v>0.6481</v>
      </c>
    </row>
    <row r="5" customFormat="false" ht="13.8" hidden="false" customHeight="false" outlineLevel="0" collapsed="false">
      <c r="A5" s="0" t="s">
        <v>0</v>
      </c>
      <c r="B5" s="0" t="s">
        <v>93</v>
      </c>
      <c r="C5" s="0" t="s">
        <v>14</v>
      </c>
      <c r="D5" s="0" t="n">
        <v>0.6077</v>
      </c>
      <c r="H5" s="0" t="s">
        <v>94</v>
      </c>
      <c r="I5" s="5" t="s">
        <v>95</v>
      </c>
      <c r="J5" s="0" t="s">
        <v>14</v>
      </c>
      <c r="K5" s="0" t="n">
        <v>0.8861</v>
      </c>
    </row>
    <row r="6" customFormat="false" ht="13.8" hidden="false" customHeight="false" outlineLevel="0" collapsed="false">
      <c r="A6" s="0" t="s">
        <v>0</v>
      </c>
      <c r="B6" s="5" t="s">
        <v>96</v>
      </c>
      <c r="C6" s="0" t="s">
        <v>74</v>
      </c>
      <c r="D6" s="0" t="n">
        <v>0.614</v>
      </c>
      <c r="H6" s="0" t="s">
        <v>94</v>
      </c>
      <c r="I6" s="5" t="s">
        <v>89</v>
      </c>
      <c r="J6" s="0" t="s">
        <v>74</v>
      </c>
      <c r="K6" s="0" t="n">
        <v>0.8955</v>
      </c>
    </row>
    <row r="7" customFormat="false" ht="13.8" hidden="false" customHeight="false" outlineLevel="0" collapsed="false">
      <c r="A7" s="0" t="s">
        <v>0</v>
      </c>
      <c r="B7" s="0" t="s">
        <v>97</v>
      </c>
      <c r="C7" s="0" t="s">
        <v>14</v>
      </c>
      <c r="D7" s="0" t="n">
        <v>0.5714</v>
      </c>
      <c r="H7" s="0" t="s">
        <v>98</v>
      </c>
      <c r="I7" s="5" t="s">
        <v>99</v>
      </c>
      <c r="J7" s="0" t="s">
        <v>14</v>
      </c>
      <c r="K7" s="0" t="n">
        <v>0.6568</v>
      </c>
    </row>
    <row r="8" customFormat="false" ht="13.8" hidden="false" customHeight="false" outlineLevel="0" collapsed="false">
      <c r="A8" s="0" t="s">
        <v>0</v>
      </c>
      <c r="B8" s="5" t="s">
        <v>100</v>
      </c>
      <c r="C8" s="0" t="s">
        <v>74</v>
      </c>
      <c r="D8" s="0" t="n">
        <v>0.4939</v>
      </c>
      <c r="H8" s="0" t="s">
        <v>98</v>
      </c>
      <c r="I8" s="5" t="s">
        <v>92</v>
      </c>
      <c r="J8" s="0" t="s">
        <v>74</v>
      </c>
      <c r="K8" s="0" t="n">
        <v>0.6922</v>
      </c>
    </row>
    <row r="9" customFormat="false" ht="13.8" hidden="false" customHeight="false" outlineLevel="0" collapsed="false">
      <c r="A9" s="0" t="s">
        <v>91</v>
      </c>
      <c r="B9" s="5" t="s">
        <v>92</v>
      </c>
      <c r="C9" s="0" t="s">
        <v>14</v>
      </c>
      <c r="D9" s="0" t="n">
        <v>0.654</v>
      </c>
      <c r="H9" s="0" t="s">
        <v>101</v>
      </c>
      <c r="I9" s="5" t="s">
        <v>92</v>
      </c>
      <c r="J9" s="0" t="s">
        <v>14</v>
      </c>
      <c r="K9" s="0" t="n">
        <v>0.8032</v>
      </c>
    </row>
    <row r="10" customFormat="false" ht="13.8" hidden="false" customHeight="false" outlineLevel="0" collapsed="false">
      <c r="A10" s="0" t="s">
        <v>91</v>
      </c>
      <c r="B10" s="5" t="s">
        <v>92</v>
      </c>
      <c r="C10" s="0" t="s">
        <v>74</v>
      </c>
      <c r="D10" s="0" t="n">
        <v>0.6481</v>
      </c>
      <c r="H10" s="0" t="s">
        <v>101</v>
      </c>
      <c r="I10" s="5" t="s">
        <v>102</v>
      </c>
      <c r="J10" s="0" t="s">
        <v>74</v>
      </c>
      <c r="K10" s="0" t="n">
        <v>0.8193</v>
      </c>
    </row>
    <row r="11" customFormat="false" ht="13.8" hidden="false" customHeight="false" outlineLevel="0" collapsed="false">
      <c r="A11" s="0" t="s">
        <v>91</v>
      </c>
      <c r="B11" s="5" t="s">
        <v>17</v>
      </c>
      <c r="C11" s="0" t="s">
        <v>14</v>
      </c>
      <c r="D11" s="0" t="n">
        <v>0.6246</v>
      </c>
      <c r="H11" s="0" t="s">
        <v>103</v>
      </c>
      <c r="I11" s="5" t="s">
        <v>104</v>
      </c>
      <c r="J11" s="0" t="s">
        <v>14</v>
      </c>
      <c r="K11" s="0" t="n">
        <v>0.4303</v>
      </c>
    </row>
    <row r="12" customFormat="false" ht="13.8" hidden="false" customHeight="false" outlineLevel="0" collapsed="false">
      <c r="A12" s="0" t="s">
        <v>91</v>
      </c>
      <c r="B12" s="5" t="s">
        <v>99</v>
      </c>
      <c r="C12" s="0" t="s">
        <v>74</v>
      </c>
      <c r="D12" s="0" t="n">
        <v>0.636</v>
      </c>
      <c r="H12" s="0" t="s">
        <v>103</v>
      </c>
      <c r="I12" s="5" t="s">
        <v>104</v>
      </c>
      <c r="J12" s="0" t="s">
        <v>74</v>
      </c>
      <c r="K12" s="0" t="n">
        <v>0.432</v>
      </c>
    </row>
    <row r="13" customFormat="false" ht="13.8" hidden="false" customHeight="false" outlineLevel="0" collapsed="false">
      <c r="A13" s="0" t="s">
        <v>91</v>
      </c>
      <c r="B13" s="5" t="s">
        <v>105</v>
      </c>
      <c r="C13" s="0" t="s">
        <v>14</v>
      </c>
      <c r="D13" s="0" t="n">
        <v>0.5536</v>
      </c>
    </row>
    <row r="14" customFormat="false" ht="13.8" hidden="false" customHeight="false" outlineLevel="0" collapsed="false">
      <c r="A14" s="0" t="s">
        <v>91</v>
      </c>
      <c r="B14" s="5" t="s">
        <v>105</v>
      </c>
      <c r="C14" s="0" t="s">
        <v>74</v>
      </c>
      <c r="D14" s="0" t="n">
        <v>0.54</v>
      </c>
    </row>
    <row r="15" customFormat="false" ht="13.8" hidden="false" customHeight="false" outlineLevel="0" collapsed="false">
      <c r="A15" s="0" t="s">
        <v>91</v>
      </c>
      <c r="B15" s="5" t="s">
        <v>106</v>
      </c>
      <c r="C15" s="0" t="s">
        <v>14</v>
      </c>
      <c r="D15" s="0" t="n">
        <v>0.5797</v>
      </c>
    </row>
    <row r="16" customFormat="false" ht="13.8" hidden="false" customHeight="false" outlineLevel="0" collapsed="false">
      <c r="A16" s="0" t="s">
        <v>91</v>
      </c>
      <c r="B16" s="5" t="s">
        <v>97</v>
      </c>
      <c r="C16" s="0" t="s">
        <v>74</v>
      </c>
      <c r="D16" s="0" t="n">
        <v>0.5779</v>
      </c>
    </row>
    <row r="17" customFormat="false" ht="13.8" hidden="false" customHeight="false" outlineLevel="0" collapsed="false">
      <c r="A17" s="0" t="s">
        <v>94</v>
      </c>
      <c r="B17" s="5" t="s">
        <v>95</v>
      </c>
      <c r="C17" s="0" t="s">
        <v>14</v>
      </c>
      <c r="D17" s="0" t="n">
        <v>0.8861</v>
      </c>
      <c r="H17" s="0" t="s">
        <v>107</v>
      </c>
      <c r="I17" s="0" t="s">
        <v>108</v>
      </c>
      <c r="J17" s="0" t="s">
        <v>109</v>
      </c>
    </row>
    <row r="18" customFormat="false" ht="13.8" hidden="false" customHeight="false" outlineLevel="0" collapsed="false">
      <c r="A18" s="0" t="s">
        <v>94</v>
      </c>
      <c r="B18" s="5" t="s">
        <v>89</v>
      </c>
      <c r="C18" s="0" t="s">
        <v>74</v>
      </c>
      <c r="D18" s="0" t="n">
        <v>0.8955</v>
      </c>
      <c r="H18" s="0" t="s">
        <v>110</v>
      </c>
      <c r="I18" s="0" t="n">
        <v>0.7032</v>
      </c>
      <c r="J18" s="0" t="n">
        <v>0.6887</v>
      </c>
      <c r="L18" s="0" t="n">
        <f aca="false">VALUE(I18)</f>
        <v>0.7032</v>
      </c>
      <c r="M18" s="0" t="n">
        <f aca="false">VALUE(J18)</f>
        <v>0.6887</v>
      </c>
    </row>
    <row r="19" customFormat="false" ht="13.8" hidden="false" customHeight="false" outlineLevel="0" collapsed="false">
      <c r="A19" s="0" t="s">
        <v>94</v>
      </c>
      <c r="B19" s="5" t="s">
        <v>17</v>
      </c>
      <c r="C19" s="0" t="s">
        <v>14</v>
      </c>
      <c r="D19" s="0" t="n">
        <v>0.8496</v>
      </c>
      <c r="H19" s="0" t="s">
        <v>111</v>
      </c>
      <c r="I19" s="0" t="n">
        <v>0.654</v>
      </c>
      <c r="J19" s="0" t="n">
        <v>0.6481</v>
      </c>
      <c r="L19" s="0" t="n">
        <f aca="false">VALUE(I19)</f>
        <v>0.654</v>
      </c>
      <c r="M19" s="0" t="n">
        <f aca="false">VALUE(J19)</f>
        <v>0.6481</v>
      </c>
    </row>
    <row r="20" customFormat="false" ht="13.8" hidden="false" customHeight="false" outlineLevel="0" collapsed="false">
      <c r="A20" s="0" t="s">
        <v>94</v>
      </c>
      <c r="B20" s="5" t="s">
        <v>112</v>
      </c>
      <c r="C20" s="0" t="s">
        <v>74</v>
      </c>
      <c r="D20" s="0" t="n">
        <v>0.8451</v>
      </c>
      <c r="H20" s="0" t="s">
        <v>113</v>
      </c>
      <c r="I20" s="0" t="n">
        <v>0.8861</v>
      </c>
      <c r="J20" s="0" t="n">
        <v>0.8955</v>
      </c>
      <c r="L20" s="0" t="n">
        <f aca="false">VALUE(I20)</f>
        <v>0.8861</v>
      </c>
      <c r="M20" s="0" t="n">
        <f aca="false">VALUE(J20)</f>
        <v>0.8955</v>
      </c>
    </row>
    <row r="21" customFormat="false" ht="13.8" hidden="false" customHeight="false" outlineLevel="0" collapsed="false">
      <c r="A21" s="0" t="s">
        <v>94</v>
      </c>
      <c r="B21" s="5" t="s">
        <v>114</v>
      </c>
      <c r="C21" s="0" t="s">
        <v>14</v>
      </c>
      <c r="D21" s="0" t="n">
        <v>0.7719</v>
      </c>
      <c r="H21" s="0" t="s">
        <v>115</v>
      </c>
      <c r="I21" s="0" t="n">
        <v>0.6568</v>
      </c>
      <c r="J21" s="0" t="n">
        <v>0.6922</v>
      </c>
      <c r="L21" s="0" t="n">
        <f aca="false">VALUE(I21)</f>
        <v>0.6568</v>
      </c>
      <c r="M21" s="0" t="n">
        <f aca="false">VALUE(J21)</f>
        <v>0.6922</v>
      </c>
    </row>
    <row r="22" customFormat="false" ht="13.8" hidden="false" customHeight="false" outlineLevel="0" collapsed="false">
      <c r="A22" s="0" t="s">
        <v>94</v>
      </c>
      <c r="B22" s="5" t="s">
        <v>114</v>
      </c>
      <c r="C22" s="0" t="s">
        <v>74</v>
      </c>
      <c r="D22" s="0" t="n">
        <v>0.7708</v>
      </c>
      <c r="H22" s="0" t="s">
        <v>116</v>
      </c>
      <c r="I22" s="0" t="n">
        <v>0.8032</v>
      </c>
      <c r="J22" s="0" t="n">
        <v>0.8193</v>
      </c>
      <c r="L22" s="0" t="n">
        <f aca="false">VALUE(I22)</f>
        <v>0.8032</v>
      </c>
      <c r="M22" s="0" t="n">
        <f aca="false">VALUE(J22)</f>
        <v>0.8193</v>
      </c>
    </row>
    <row r="23" customFormat="false" ht="13.8" hidden="false" customHeight="false" outlineLevel="0" collapsed="false">
      <c r="A23" s="0" t="s">
        <v>94</v>
      </c>
      <c r="B23" s="5" t="s">
        <v>26</v>
      </c>
      <c r="C23" s="0" t="s">
        <v>14</v>
      </c>
      <c r="D23" s="0" t="n">
        <v>0.6799</v>
      </c>
      <c r="H23" s="0" t="s">
        <v>117</v>
      </c>
      <c r="I23" s="0" t="n">
        <v>0.4303</v>
      </c>
      <c r="J23" s="0" t="n">
        <v>0.432</v>
      </c>
      <c r="L23" s="0" t="n">
        <f aca="false">VALUE(I23)</f>
        <v>0.4303</v>
      </c>
      <c r="M23" s="0" t="n">
        <f aca="false">VALUE(J23)</f>
        <v>0.432</v>
      </c>
    </row>
    <row r="24" customFormat="false" ht="13.8" hidden="false" customHeight="false" outlineLevel="0" collapsed="false">
      <c r="A24" s="0" t="s">
        <v>94</v>
      </c>
      <c r="B24" s="5" t="s">
        <v>26</v>
      </c>
      <c r="C24" s="0" t="s">
        <v>74</v>
      </c>
      <c r="D24" s="0" t="n">
        <v>0.6515</v>
      </c>
    </row>
    <row r="25" customFormat="false" ht="13.8" hidden="false" customHeight="false" outlineLevel="0" collapsed="false">
      <c r="A25" s="0" t="s">
        <v>98</v>
      </c>
      <c r="B25" s="5" t="s">
        <v>92</v>
      </c>
      <c r="C25" s="0" t="s">
        <v>14</v>
      </c>
      <c r="D25" s="0" t="n">
        <v>0.6483</v>
      </c>
    </row>
    <row r="26" customFormat="false" ht="13.8" hidden="false" customHeight="false" outlineLevel="0" collapsed="false">
      <c r="A26" s="0" t="s">
        <v>98</v>
      </c>
      <c r="B26" s="5" t="s">
        <v>92</v>
      </c>
      <c r="C26" s="0" t="s">
        <v>74</v>
      </c>
      <c r="D26" s="0" t="n">
        <v>0.6922</v>
      </c>
      <c r="H26" s="0" t="e">
        <f aca="false">number(I18)</f>
        <v>#NAME?</v>
      </c>
    </row>
    <row r="27" customFormat="false" ht="13.8" hidden="false" customHeight="false" outlineLevel="0" collapsed="false">
      <c r="A27" s="0" t="s">
        <v>98</v>
      </c>
      <c r="B27" s="5" t="s">
        <v>99</v>
      </c>
      <c r="C27" s="0" t="s">
        <v>14</v>
      </c>
      <c r="D27" s="0" t="n">
        <v>0.6568</v>
      </c>
    </row>
    <row r="28" customFormat="false" ht="13.8" hidden="false" customHeight="false" outlineLevel="0" collapsed="false">
      <c r="A28" s="0" t="s">
        <v>98</v>
      </c>
      <c r="B28" s="5" t="s">
        <v>104</v>
      </c>
      <c r="C28" s="0" t="s">
        <v>74</v>
      </c>
      <c r="D28" s="0" t="n">
        <v>0.6455</v>
      </c>
    </row>
    <row r="29" customFormat="false" ht="13.8" hidden="false" customHeight="false" outlineLevel="0" collapsed="false">
      <c r="A29" s="0" t="s">
        <v>98</v>
      </c>
      <c r="B29" s="5" t="s">
        <v>96</v>
      </c>
      <c r="C29" s="0" t="s">
        <v>14</v>
      </c>
      <c r="D29" s="0" t="n">
        <v>0.6496</v>
      </c>
    </row>
    <row r="30" customFormat="false" ht="13.8" hidden="false" customHeight="false" outlineLevel="0" collapsed="false">
      <c r="A30" s="0" t="s">
        <v>98</v>
      </c>
      <c r="B30" s="5" t="s">
        <v>96</v>
      </c>
      <c r="C30" s="0" t="s">
        <v>74</v>
      </c>
      <c r="D30" s="0" t="n">
        <v>0.6284</v>
      </c>
    </row>
    <row r="31" customFormat="false" ht="13.8" hidden="false" customHeight="false" outlineLevel="0" collapsed="false">
      <c r="A31" s="0" t="s">
        <v>98</v>
      </c>
      <c r="B31" s="5" t="s">
        <v>97</v>
      </c>
      <c r="C31" s="0" t="s">
        <v>14</v>
      </c>
      <c r="D31" s="0" t="n">
        <v>0.6296</v>
      </c>
    </row>
    <row r="32" customFormat="false" ht="13.8" hidden="false" customHeight="false" outlineLevel="0" collapsed="false">
      <c r="A32" s="0" t="s">
        <v>98</v>
      </c>
      <c r="B32" s="5" t="s">
        <v>97</v>
      </c>
      <c r="C32" s="0" t="s">
        <v>74</v>
      </c>
      <c r="D32" s="0" t="n">
        <v>0.603</v>
      </c>
    </row>
    <row r="33" customFormat="false" ht="13.8" hidden="false" customHeight="false" outlineLevel="0" collapsed="false">
      <c r="A33" s="0" t="s">
        <v>101</v>
      </c>
      <c r="B33" s="5" t="s">
        <v>92</v>
      </c>
      <c r="C33" s="0" t="s">
        <v>14</v>
      </c>
      <c r="D33" s="0" t="n">
        <v>0.8032</v>
      </c>
    </row>
    <row r="34" customFormat="false" ht="13.8" hidden="false" customHeight="false" outlineLevel="0" collapsed="false">
      <c r="A34" s="0" t="s">
        <v>101</v>
      </c>
      <c r="B34" s="5" t="s">
        <v>102</v>
      </c>
      <c r="C34" s="0" t="s">
        <v>74</v>
      </c>
      <c r="D34" s="0" t="n">
        <v>0.8193</v>
      </c>
    </row>
    <row r="35" customFormat="false" ht="13.8" hidden="false" customHeight="false" outlineLevel="0" collapsed="false">
      <c r="A35" s="0" t="s">
        <v>101</v>
      </c>
      <c r="B35" s="5" t="s">
        <v>118</v>
      </c>
      <c r="C35" s="0" t="s">
        <v>14</v>
      </c>
      <c r="D35" s="0" t="n">
        <v>0.7913</v>
      </c>
    </row>
    <row r="36" customFormat="false" ht="13.8" hidden="false" customHeight="false" outlineLevel="0" collapsed="false">
      <c r="A36" s="0" t="s">
        <v>101</v>
      </c>
      <c r="B36" s="5" t="s">
        <v>119</v>
      </c>
      <c r="C36" s="0" t="s">
        <v>74</v>
      </c>
      <c r="D36" s="0" t="n">
        <v>0.7914</v>
      </c>
    </row>
    <row r="37" customFormat="false" ht="13.8" hidden="false" customHeight="false" outlineLevel="0" collapsed="false">
      <c r="A37" s="0" t="s">
        <v>101</v>
      </c>
      <c r="B37" s="5" t="s">
        <v>120</v>
      </c>
      <c r="C37" s="0" t="s">
        <v>14</v>
      </c>
      <c r="D37" s="0" t="n">
        <v>0.7428</v>
      </c>
    </row>
    <row r="38" customFormat="false" ht="13.8" hidden="false" customHeight="false" outlineLevel="0" collapsed="false">
      <c r="A38" s="0" t="s">
        <v>101</v>
      </c>
      <c r="B38" s="5" t="s">
        <v>23</v>
      </c>
      <c r="C38" s="0" t="s">
        <v>74</v>
      </c>
      <c r="D38" s="0" t="n">
        <v>0.7353</v>
      </c>
    </row>
    <row r="39" customFormat="false" ht="13.8" hidden="false" customHeight="false" outlineLevel="0" collapsed="false">
      <c r="A39" s="0" t="s">
        <v>101</v>
      </c>
      <c r="B39" s="5" t="s">
        <v>97</v>
      </c>
      <c r="C39" s="0" t="s">
        <v>14</v>
      </c>
      <c r="D39" s="0" t="n">
        <v>0.7802</v>
      </c>
    </row>
    <row r="40" customFormat="false" ht="13.8" hidden="false" customHeight="false" outlineLevel="0" collapsed="false">
      <c r="A40" s="0" t="s">
        <v>101</v>
      </c>
      <c r="B40" s="5" t="s">
        <v>106</v>
      </c>
      <c r="C40" s="0" t="s">
        <v>74</v>
      </c>
      <c r="D40" s="0" t="n">
        <v>0.7833</v>
      </c>
    </row>
    <row r="41" customFormat="false" ht="13.8" hidden="false" customHeight="false" outlineLevel="0" collapsed="false">
      <c r="A41" s="0" t="s">
        <v>103</v>
      </c>
      <c r="B41" s="5" t="s">
        <v>121</v>
      </c>
      <c r="C41" s="0" t="s">
        <v>14</v>
      </c>
      <c r="D41" s="0" t="n">
        <v>0.4296</v>
      </c>
    </row>
    <row r="42" customFormat="false" ht="13.8" hidden="false" customHeight="false" outlineLevel="0" collapsed="false">
      <c r="A42" s="0" t="s">
        <v>103</v>
      </c>
      <c r="B42" s="5" t="s">
        <v>92</v>
      </c>
      <c r="C42" s="0" t="s">
        <v>74</v>
      </c>
      <c r="D42" s="0" t="n">
        <v>0.4297</v>
      </c>
    </row>
    <row r="43" customFormat="false" ht="13.8" hidden="false" customHeight="false" outlineLevel="0" collapsed="false">
      <c r="A43" s="0" t="s">
        <v>103</v>
      </c>
      <c r="B43" s="5" t="s">
        <v>104</v>
      </c>
      <c r="C43" s="0" t="s">
        <v>14</v>
      </c>
      <c r="D43" s="0" t="n">
        <v>0.4303</v>
      </c>
    </row>
    <row r="44" customFormat="false" ht="13.8" hidden="false" customHeight="false" outlineLevel="0" collapsed="false">
      <c r="A44" s="0" t="s">
        <v>103</v>
      </c>
      <c r="B44" s="5" t="s">
        <v>104</v>
      </c>
      <c r="C44" s="0" t="s">
        <v>74</v>
      </c>
      <c r="D44" s="0" t="n">
        <v>0.432</v>
      </c>
    </row>
    <row r="45" customFormat="false" ht="13.8" hidden="false" customHeight="false" outlineLevel="0" collapsed="false">
      <c r="A45" s="0" t="s">
        <v>103</v>
      </c>
      <c r="B45" s="5" t="s">
        <v>122</v>
      </c>
      <c r="C45" s="0" t="s">
        <v>14</v>
      </c>
      <c r="D45" s="0" t="n">
        <v>0.3663</v>
      </c>
    </row>
    <row r="46" customFormat="false" ht="13.8" hidden="false" customHeight="false" outlineLevel="0" collapsed="false">
      <c r="A46" s="0" t="s">
        <v>103</v>
      </c>
      <c r="B46" s="5" t="s">
        <v>114</v>
      </c>
      <c r="C46" s="0" t="s">
        <v>74</v>
      </c>
      <c r="D46" s="0" t="n">
        <v>0.3838</v>
      </c>
    </row>
    <row r="47" customFormat="false" ht="13.8" hidden="false" customHeight="false" outlineLevel="0" collapsed="false">
      <c r="A47" s="0" t="s">
        <v>103</v>
      </c>
      <c r="B47" s="5" t="s">
        <v>97</v>
      </c>
      <c r="C47" s="0" t="s">
        <v>14</v>
      </c>
      <c r="D47" s="0" t="n">
        <v>0.3642</v>
      </c>
    </row>
    <row r="48" customFormat="false" ht="13.8" hidden="false" customHeight="false" outlineLevel="0" collapsed="false">
      <c r="A48" s="0" t="s">
        <v>103</v>
      </c>
      <c r="B48" s="5" t="s">
        <v>97</v>
      </c>
      <c r="C48" s="0" t="s">
        <v>74</v>
      </c>
      <c r="D48" s="0" t="n">
        <v>0.3993</v>
      </c>
    </row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O4" activeCellId="0" sqref="O4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91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15" hidden="false" customHeight="false" outlineLevel="0" collapsed="false">
      <c r="A4" s="1" t="s">
        <v>70</v>
      </c>
      <c r="B4" s="1" t="s">
        <v>1</v>
      </c>
      <c r="C4" s="1" t="s">
        <v>13</v>
      </c>
      <c r="D4" s="1" t="s">
        <v>14</v>
      </c>
      <c r="E4" s="1" t="n">
        <v>0.716666666666667</v>
      </c>
      <c r="F4" s="1" t="n">
        <v>0.672474605340459</v>
      </c>
      <c r="G4" s="1" t="n">
        <v>0.65401725266995</v>
      </c>
      <c r="H4" s="1" t="n">
        <v>0.732518403021586</v>
      </c>
      <c r="I4" s="1" t="n">
        <v>0.672474605340459</v>
      </c>
      <c r="J4" s="1" t="n">
        <v>0.0646855140920789</v>
      </c>
    </row>
    <row r="5" customFormat="false" ht="15" hidden="false" customHeight="false" outlineLevel="0" collapsed="false">
      <c r="A5" s="1" t="s">
        <v>15</v>
      </c>
      <c r="B5" s="1" t="s">
        <v>1</v>
      </c>
      <c r="C5" s="1" t="s">
        <v>13</v>
      </c>
      <c r="D5" s="1" t="s">
        <v>14</v>
      </c>
      <c r="E5" s="1" t="n">
        <v>0.701851851851852</v>
      </c>
      <c r="F5" s="1" t="n">
        <v>0.638571100308905</v>
      </c>
      <c r="G5" s="1" t="n">
        <v>0.625242710748491</v>
      </c>
      <c r="H5" s="1" t="n">
        <v>0.683396218923811</v>
      </c>
      <c r="I5" s="1" t="n">
        <v>0.638571100308905</v>
      </c>
      <c r="J5" s="1" t="n">
        <v>0.0266759163422784</v>
      </c>
    </row>
    <row r="6" customFormat="false" ht="15" hidden="false" customHeight="false" outlineLevel="0" collapsed="false">
      <c r="A6" s="1" t="s">
        <v>1</v>
      </c>
      <c r="B6" s="1" t="s">
        <v>1</v>
      </c>
      <c r="C6" s="1" t="s">
        <v>18</v>
      </c>
      <c r="D6" s="1" t="s">
        <v>14</v>
      </c>
      <c r="E6" s="1" t="n">
        <v>0.698148148148148</v>
      </c>
      <c r="F6" s="1" t="n">
        <v>0.626616090549017</v>
      </c>
      <c r="G6" s="1" t="n">
        <v>0.588972183776013</v>
      </c>
      <c r="H6" s="1" t="n">
        <v>0.63458679552271</v>
      </c>
      <c r="I6" s="1" t="n">
        <v>0.626616090549017</v>
      </c>
      <c r="J6" s="1" t="n">
        <v>0.0475003238021235</v>
      </c>
    </row>
    <row r="7" customFormat="false" ht="15" hidden="false" customHeight="false" outlineLevel="0" collapsed="false">
      <c r="A7" s="1" t="s">
        <v>17</v>
      </c>
      <c r="B7" s="1" t="s">
        <v>17</v>
      </c>
      <c r="C7" s="1" t="s">
        <v>18</v>
      </c>
      <c r="D7" s="1" t="s">
        <v>14</v>
      </c>
      <c r="E7" s="1" t="n">
        <v>0.692592592592593</v>
      </c>
      <c r="F7" s="1" t="n">
        <v>0.637914558341388</v>
      </c>
      <c r="G7" s="1" t="n">
        <v>0.624595274567269</v>
      </c>
      <c r="H7" s="1" t="n">
        <v>0.633518900386117</v>
      </c>
      <c r="I7" s="1" t="n">
        <v>0.637914558341388</v>
      </c>
      <c r="J7" s="1" t="n">
        <v>0.0411908319396849</v>
      </c>
    </row>
    <row r="8" customFormat="false" ht="15" hidden="false" customHeight="false" outlineLevel="0" collapsed="false">
      <c r="A8" s="1" t="s">
        <v>16</v>
      </c>
      <c r="B8" s="1" t="s">
        <v>1</v>
      </c>
      <c r="C8" s="1" t="s">
        <v>13</v>
      </c>
      <c r="D8" s="1" t="s">
        <v>14</v>
      </c>
      <c r="E8" s="1" t="n">
        <v>0.690740740740741</v>
      </c>
      <c r="F8" s="1" t="n">
        <v>0.639229963803135</v>
      </c>
      <c r="G8" s="1" t="n">
        <v>0.625019726167307</v>
      </c>
      <c r="H8" s="1" t="n">
        <v>0.63724673181093</v>
      </c>
      <c r="I8" s="1" t="n">
        <v>0.639229963803135</v>
      </c>
      <c r="J8" s="1" t="n">
        <v>0.031548175443343</v>
      </c>
    </row>
    <row r="9" customFormat="false" ht="15" hidden="false" customHeight="false" outlineLevel="0" collapsed="false">
      <c r="A9" s="1" t="s">
        <v>20</v>
      </c>
      <c r="B9" s="1" t="s">
        <v>17</v>
      </c>
      <c r="C9" s="1" t="s">
        <v>13</v>
      </c>
      <c r="D9" s="1" t="s">
        <v>14</v>
      </c>
      <c r="E9" s="1" t="n">
        <v>0.688888888888889</v>
      </c>
      <c r="F9" s="1" t="n">
        <v>0.61199624054807</v>
      </c>
      <c r="G9" s="1" t="n">
        <v>0.602392522790369</v>
      </c>
      <c r="H9" s="1" t="n">
        <v>0.634535916415494</v>
      </c>
      <c r="I9" s="1" t="n">
        <v>0.61199624054807</v>
      </c>
      <c r="J9" s="1" t="n">
        <v>0.0603618616121703</v>
      </c>
    </row>
    <row r="10" customFormat="false" ht="15" hidden="false" customHeight="false" outlineLevel="0" collapsed="false">
      <c r="A10" s="1" t="s">
        <v>73</v>
      </c>
      <c r="B10" s="1" t="s">
        <v>1</v>
      </c>
      <c r="C10" s="1" t="s">
        <v>13</v>
      </c>
      <c r="D10" s="1" t="s">
        <v>14</v>
      </c>
      <c r="E10" s="1" t="n">
        <v>0.687037037037037</v>
      </c>
      <c r="F10" s="1" t="n">
        <v>0.608644939071768</v>
      </c>
      <c r="G10" s="1" t="n">
        <v>0.580371472768398</v>
      </c>
      <c r="H10" s="1" t="n">
        <v>0.602874478250625</v>
      </c>
      <c r="I10" s="1" t="n">
        <v>0.608644939071768</v>
      </c>
      <c r="J10" s="1" t="n">
        <v>0.0383618482826939</v>
      </c>
    </row>
    <row r="11" customFormat="false" ht="15" hidden="false" customHeight="false" outlineLevel="0" collapsed="false">
      <c r="A11" s="1" t="s">
        <v>12</v>
      </c>
      <c r="B11" s="1" t="s">
        <v>1</v>
      </c>
      <c r="C11" s="1" t="s">
        <v>13</v>
      </c>
      <c r="D11" s="1" t="s">
        <v>14</v>
      </c>
      <c r="E11" s="1" t="n">
        <v>0.685185185185185</v>
      </c>
      <c r="F11" s="1" t="n">
        <v>0.615908948774802</v>
      </c>
      <c r="G11" s="1" t="n">
        <v>0.581399391953119</v>
      </c>
      <c r="H11" s="1" t="n">
        <v>0.603736829266491</v>
      </c>
      <c r="I11" s="1" t="n">
        <v>0.615908948774802</v>
      </c>
      <c r="J11" s="1" t="n">
        <v>0.02811933264147</v>
      </c>
    </row>
    <row r="12" customFormat="false" ht="15" hidden="false" customHeight="false" outlineLevel="0" collapsed="false">
      <c r="A12" s="1" t="s">
        <v>21</v>
      </c>
      <c r="B12" s="1" t="s">
        <v>17</v>
      </c>
      <c r="C12" s="1" t="s">
        <v>13</v>
      </c>
      <c r="D12" s="1" t="s">
        <v>14</v>
      </c>
      <c r="E12" s="1" t="n">
        <v>0.683333333333334</v>
      </c>
      <c r="F12" s="1" t="n">
        <v>0.600498547861353</v>
      </c>
      <c r="G12" s="1" t="n">
        <v>0.604393149573654</v>
      </c>
      <c r="H12" s="1" t="n">
        <v>0.642492541256974</v>
      </c>
      <c r="I12" s="1" t="n">
        <v>0.600498547861353</v>
      </c>
      <c r="J12" s="1" t="n">
        <v>0.0521853478234245</v>
      </c>
    </row>
    <row r="13" customFormat="false" ht="15" hidden="false" customHeight="false" outlineLevel="0" collapsed="false">
      <c r="A13" s="1" t="s">
        <v>65</v>
      </c>
      <c r="B13" s="1" t="s">
        <v>17</v>
      </c>
      <c r="C13" s="1" t="s">
        <v>13</v>
      </c>
      <c r="D13" s="1" t="s">
        <v>14</v>
      </c>
      <c r="E13" s="1" t="n">
        <v>0.67962962962963</v>
      </c>
      <c r="F13" s="1" t="n">
        <v>0.60872243779256</v>
      </c>
      <c r="G13" s="1" t="n">
        <v>0.597730350721603</v>
      </c>
      <c r="H13" s="1" t="n">
        <v>0.64010493933153</v>
      </c>
      <c r="I13" s="1" t="n">
        <v>0.60872243779256</v>
      </c>
      <c r="J13" s="1" t="n">
        <v>0.0785576641694593</v>
      </c>
    </row>
    <row r="14" customFormat="false" ht="15" hidden="false" customHeight="false" outlineLevel="0" collapsed="false">
      <c r="A14" s="1" t="s">
        <v>42</v>
      </c>
      <c r="B14" s="1" t="s">
        <v>1</v>
      </c>
      <c r="C14" s="1" t="s">
        <v>13</v>
      </c>
      <c r="D14" s="1" t="s">
        <v>14</v>
      </c>
      <c r="E14" s="1" t="n">
        <v>0.67962962962963</v>
      </c>
      <c r="F14" s="1" t="n">
        <v>0.67498938730646</v>
      </c>
      <c r="G14" s="1" t="n">
        <v>0.638461721236242</v>
      </c>
      <c r="H14" s="1" t="n">
        <v>0.63237221313582</v>
      </c>
      <c r="I14" s="1" t="n">
        <v>0.67498938730646</v>
      </c>
      <c r="J14" s="1" t="n">
        <v>0.0406036043880411</v>
      </c>
    </row>
    <row r="15" customFormat="false" ht="15" hidden="false" customHeight="false" outlineLevel="0" collapsed="false">
      <c r="A15" s="1" t="s">
        <v>19</v>
      </c>
      <c r="B15" s="1" t="s">
        <v>17</v>
      </c>
      <c r="C15" s="1" t="s">
        <v>13</v>
      </c>
      <c r="D15" s="1" t="s">
        <v>14</v>
      </c>
      <c r="E15" s="1" t="n">
        <v>0.666666666666667</v>
      </c>
      <c r="F15" s="1" t="n">
        <v>0.610232448784278</v>
      </c>
      <c r="G15" s="1" t="n">
        <v>0.587253763257719</v>
      </c>
      <c r="H15" s="1" t="n">
        <v>0.588093882196231</v>
      </c>
      <c r="I15" s="1" t="n">
        <v>0.610232448784278</v>
      </c>
      <c r="J15" s="1" t="n">
        <v>0.0324357531027255</v>
      </c>
    </row>
    <row r="16" customFormat="false" ht="15" hidden="false" customHeight="false" outlineLevel="0" collapsed="false">
      <c r="A16" s="1" t="s">
        <v>68</v>
      </c>
      <c r="B16" s="1" t="s">
        <v>17</v>
      </c>
      <c r="C16" s="1" t="s">
        <v>13</v>
      </c>
      <c r="D16" s="1" t="s">
        <v>14</v>
      </c>
      <c r="E16" s="1" t="n">
        <v>0.657407407407407</v>
      </c>
      <c r="F16" s="1" t="n">
        <v>0.588660633066121</v>
      </c>
      <c r="G16" s="1" t="n">
        <v>0.57380820496518</v>
      </c>
      <c r="H16" s="1" t="n">
        <v>0.595726944005803</v>
      </c>
      <c r="I16" s="1" t="n">
        <v>0.588660633066121</v>
      </c>
      <c r="J16" s="1" t="n">
        <v>0.0230114607766568</v>
      </c>
    </row>
    <row r="17" customFormat="false" ht="15" hidden="false" customHeight="false" outlineLevel="0" collapsed="false">
      <c r="A17" s="1" t="s">
        <v>31</v>
      </c>
      <c r="B17" s="1" t="s">
        <v>1</v>
      </c>
      <c r="C17" s="1" t="s">
        <v>13</v>
      </c>
      <c r="D17" s="1" t="s">
        <v>14</v>
      </c>
      <c r="E17" s="1" t="n">
        <v>0.653703703703704</v>
      </c>
      <c r="F17" s="1" t="n">
        <v>0.670962332044649</v>
      </c>
      <c r="G17" s="1" t="n">
        <v>0.630532500912205</v>
      </c>
      <c r="H17" s="1" t="n">
        <v>0.625177000488517</v>
      </c>
      <c r="I17" s="1" t="n">
        <v>0.670962332044649</v>
      </c>
      <c r="J17" s="1" t="n">
        <v>0.0454790807149728</v>
      </c>
    </row>
    <row r="18" customFormat="false" ht="15" hidden="false" customHeight="false" outlineLevel="0" collapsed="false">
      <c r="A18" s="1" t="s">
        <v>71</v>
      </c>
      <c r="B18" s="1" t="s">
        <v>1</v>
      </c>
      <c r="C18" s="1" t="s">
        <v>13</v>
      </c>
      <c r="D18" s="1" t="s">
        <v>14</v>
      </c>
      <c r="E18" s="1" t="n">
        <v>0.646296296296296</v>
      </c>
      <c r="F18" s="1" t="n">
        <v>0.665730049083708</v>
      </c>
      <c r="G18" s="1" t="n">
        <v>0.622908303080189</v>
      </c>
      <c r="H18" s="1" t="n">
        <v>0.615126349322055</v>
      </c>
      <c r="I18" s="1" t="n">
        <v>0.665730049083708</v>
      </c>
      <c r="J18" s="1" t="n">
        <v>0.0514970506176975</v>
      </c>
    </row>
    <row r="19" customFormat="false" ht="15" hidden="false" customHeight="false" outlineLevel="0" collapsed="false">
      <c r="A19" s="1" t="s">
        <v>40</v>
      </c>
      <c r="B19" s="1" t="s">
        <v>1</v>
      </c>
      <c r="C19" s="1" t="s">
        <v>13</v>
      </c>
      <c r="D19" s="1" t="s">
        <v>14</v>
      </c>
      <c r="E19" s="1" t="n">
        <v>0.640740740740741</v>
      </c>
      <c r="F19" s="1" t="n">
        <v>0.638145952963026</v>
      </c>
      <c r="G19" s="1" t="n">
        <v>0.60468866024071</v>
      </c>
      <c r="H19" s="1" t="n">
        <v>0.603345707353953</v>
      </c>
      <c r="I19" s="1" t="n">
        <v>0.638145952963026</v>
      </c>
      <c r="J19" s="1" t="n">
        <v>0.0380229159551785</v>
      </c>
    </row>
    <row r="20" customFormat="false" ht="15" hidden="false" customHeight="false" outlineLevel="0" collapsed="false">
      <c r="A20" s="1" t="s">
        <v>72</v>
      </c>
      <c r="B20" s="1" t="s">
        <v>1</v>
      </c>
      <c r="C20" s="1" t="s">
        <v>13</v>
      </c>
      <c r="D20" s="1" t="s">
        <v>14</v>
      </c>
      <c r="E20" s="1" t="n">
        <v>0.635185185185185</v>
      </c>
      <c r="F20" s="1" t="n">
        <v>0.659894465290807</v>
      </c>
      <c r="G20" s="1" t="n">
        <v>0.609783271178836</v>
      </c>
      <c r="H20" s="1" t="n">
        <v>0.609033735140546</v>
      </c>
      <c r="I20" s="1" t="n">
        <v>0.659894465290807</v>
      </c>
      <c r="J20" s="1" t="n">
        <v>0.0188943631826386</v>
      </c>
    </row>
    <row r="21" customFormat="false" ht="15" hidden="false" customHeight="false" outlineLevel="0" collapsed="false">
      <c r="A21" s="1" t="s">
        <v>25</v>
      </c>
      <c r="B21" s="1" t="s">
        <v>26</v>
      </c>
      <c r="C21" s="1" t="s">
        <v>13</v>
      </c>
      <c r="D21" s="1" t="s">
        <v>14</v>
      </c>
      <c r="E21" s="1" t="n">
        <v>0.633333333333333</v>
      </c>
      <c r="F21" s="1" t="n">
        <v>0.553609097542024</v>
      </c>
      <c r="G21" s="1" t="n">
        <v>0.564321419328982</v>
      </c>
      <c r="H21" s="1" t="n">
        <v>0.624185120782984</v>
      </c>
      <c r="I21" s="1" t="n">
        <v>0.553609097542024</v>
      </c>
      <c r="J21" s="1" t="n">
        <v>0.0368689485236296</v>
      </c>
    </row>
    <row r="22" customFormat="false" ht="15" hidden="false" customHeight="false" outlineLevel="0" collapsed="false">
      <c r="A22" s="1" t="s">
        <v>32</v>
      </c>
      <c r="B22" s="1" t="s">
        <v>1</v>
      </c>
      <c r="C22" s="1" t="s">
        <v>13</v>
      </c>
      <c r="D22" s="1" t="s">
        <v>14</v>
      </c>
      <c r="E22" s="1" t="n">
        <v>0.631481481481481</v>
      </c>
      <c r="F22" s="1" t="n">
        <v>0.629920535088218</v>
      </c>
      <c r="G22" s="1" t="n">
        <v>0.598947179180679</v>
      </c>
      <c r="H22" s="1" t="n">
        <v>0.593246881848107</v>
      </c>
      <c r="I22" s="1" t="n">
        <v>0.629920535088218</v>
      </c>
      <c r="J22" s="1" t="n">
        <v>0.0446085001238709</v>
      </c>
    </row>
    <row r="23" customFormat="false" ht="15" hidden="false" customHeight="false" outlineLevel="0" collapsed="false">
      <c r="A23" s="1" t="s">
        <v>57</v>
      </c>
      <c r="B23" s="1" t="s">
        <v>26</v>
      </c>
      <c r="C23" s="1" t="s">
        <v>13</v>
      </c>
      <c r="D23" s="1" t="s">
        <v>14</v>
      </c>
      <c r="E23" s="1" t="n">
        <v>0.627777777777778</v>
      </c>
      <c r="F23" s="1" t="n">
        <v>0.59262833541797</v>
      </c>
      <c r="G23" s="1" t="n">
        <v>0.579680672145344</v>
      </c>
      <c r="H23" s="1" t="n">
        <v>0.614164140876975</v>
      </c>
      <c r="I23" s="1" t="n">
        <v>0.59262833541797</v>
      </c>
      <c r="J23" s="1" t="n">
        <v>0.0430240634302381</v>
      </c>
    </row>
    <row r="24" customFormat="false" ht="15" hidden="false" customHeight="false" outlineLevel="0" collapsed="false">
      <c r="A24" s="1" t="s">
        <v>33</v>
      </c>
      <c r="B24" s="1" t="s">
        <v>1</v>
      </c>
      <c r="C24" s="1" t="s">
        <v>13</v>
      </c>
      <c r="D24" s="1" t="s">
        <v>14</v>
      </c>
      <c r="E24" s="1" t="n">
        <v>0.603703703703704</v>
      </c>
      <c r="F24" s="1" t="n">
        <v>0.594048268804366</v>
      </c>
      <c r="G24" s="1" t="n">
        <v>0.549404208221877</v>
      </c>
      <c r="H24" s="1" t="n">
        <v>0.632831855994287</v>
      </c>
      <c r="I24" s="1" t="n">
        <v>0.594048268804366</v>
      </c>
      <c r="J24" s="1" t="n">
        <v>0.100906179412326</v>
      </c>
    </row>
    <row r="25" customFormat="false" ht="15" hidden="false" customHeight="false" outlineLevel="0" collapsed="false">
      <c r="A25" s="1" t="s">
        <v>26</v>
      </c>
      <c r="B25" s="1" t="s">
        <v>26</v>
      </c>
      <c r="C25" s="1" t="s">
        <v>18</v>
      </c>
      <c r="D25" s="1" t="s">
        <v>14</v>
      </c>
      <c r="E25" s="1" t="n">
        <v>0.588888888888889</v>
      </c>
      <c r="F25" s="1" t="n">
        <v>0.490820233289746</v>
      </c>
      <c r="G25" s="1" t="n">
        <v>0.505127738493852</v>
      </c>
      <c r="H25" s="1" t="n">
        <v>0.605132455455419</v>
      </c>
      <c r="I25" s="1" t="n">
        <v>0.490820233289746</v>
      </c>
      <c r="J25" s="1" t="n">
        <v>0.0476171333517652</v>
      </c>
    </row>
    <row r="26" customFormat="false" ht="15" hidden="false" customHeight="false" outlineLevel="0" collapsed="false">
      <c r="A26" s="1" t="s">
        <v>23</v>
      </c>
      <c r="B26" s="1" t="s">
        <v>23</v>
      </c>
      <c r="C26" s="1" t="s">
        <v>18</v>
      </c>
      <c r="D26" s="1" t="s">
        <v>14</v>
      </c>
      <c r="E26" s="1" t="n">
        <v>0.588888888888889</v>
      </c>
      <c r="F26" s="1" t="n">
        <v>0.525816170618</v>
      </c>
      <c r="G26" s="1" t="n">
        <v>0.514876737812921</v>
      </c>
      <c r="H26" s="1" t="n">
        <v>0.527039817029022</v>
      </c>
      <c r="I26" s="1" t="n">
        <v>0.525816170618</v>
      </c>
      <c r="J26" s="1" t="n">
        <v>0.0722820539550895</v>
      </c>
    </row>
    <row r="27" customFormat="false" ht="15" hidden="false" customHeight="false" outlineLevel="0" collapsed="false">
      <c r="A27" s="1" t="s">
        <v>28</v>
      </c>
      <c r="B27" s="1" t="s">
        <v>26</v>
      </c>
      <c r="C27" s="1" t="s">
        <v>13</v>
      </c>
      <c r="D27" s="1" t="s">
        <v>14</v>
      </c>
      <c r="E27" s="1" t="n">
        <v>0.587037037037037</v>
      </c>
      <c r="F27" s="1" t="n">
        <v>0.547085998351242</v>
      </c>
      <c r="G27" s="1" t="n">
        <v>0.540396651917111</v>
      </c>
      <c r="H27" s="1" t="n">
        <v>0.580420399627471</v>
      </c>
      <c r="I27" s="1" t="n">
        <v>0.547085998351242</v>
      </c>
      <c r="J27" s="1" t="n">
        <v>0.0728651107544889</v>
      </c>
    </row>
    <row r="28" customFormat="false" ht="15" hidden="false" customHeight="false" outlineLevel="0" collapsed="false">
      <c r="A28" s="1" t="s">
        <v>60</v>
      </c>
      <c r="B28" s="1" t="s">
        <v>26</v>
      </c>
      <c r="C28" s="1" t="s">
        <v>13</v>
      </c>
      <c r="D28" s="1" t="s">
        <v>14</v>
      </c>
      <c r="E28" s="1" t="n">
        <v>0.587037037037037</v>
      </c>
      <c r="F28" s="1" t="n">
        <v>0.507647973638827</v>
      </c>
      <c r="G28" s="1" t="n">
        <v>0.515971609844489</v>
      </c>
      <c r="H28" s="1" t="n">
        <v>0.568727541920876</v>
      </c>
      <c r="I28" s="1" t="n">
        <v>0.507647973638827</v>
      </c>
      <c r="J28" s="1" t="n">
        <v>0.0566705466036727</v>
      </c>
    </row>
    <row r="29" customFormat="false" ht="15" hidden="false" customHeight="false" outlineLevel="0" collapsed="false">
      <c r="A29" s="1" t="s">
        <v>53</v>
      </c>
      <c r="B29" s="1" t="s">
        <v>17</v>
      </c>
      <c r="C29" s="1" t="s">
        <v>13</v>
      </c>
      <c r="D29" s="1" t="s">
        <v>14</v>
      </c>
      <c r="E29" s="1" t="n">
        <v>0.583333333333333</v>
      </c>
      <c r="F29" s="1" t="n">
        <v>0.605155175109443</v>
      </c>
      <c r="G29" s="1" t="n">
        <v>0.555516098954462</v>
      </c>
      <c r="H29" s="1" t="n">
        <v>0.549981504978434</v>
      </c>
      <c r="I29" s="1" t="n">
        <v>0.605155175109443</v>
      </c>
      <c r="J29" s="1" t="n">
        <v>0.0308111208663214</v>
      </c>
    </row>
    <row r="30" customFormat="false" ht="15" hidden="false" customHeight="false" outlineLevel="0" collapsed="false">
      <c r="A30" s="1" t="s">
        <v>30</v>
      </c>
      <c r="B30" s="1" t="s">
        <v>26</v>
      </c>
      <c r="C30" s="1" t="s">
        <v>13</v>
      </c>
      <c r="D30" s="1" t="s">
        <v>14</v>
      </c>
      <c r="E30" s="1" t="n">
        <v>0.57962962962963</v>
      </c>
      <c r="F30" s="1" t="n">
        <v>0.518848345083101</v>
      </c>
      <c r="G30" s="1" t="n">
        <v>0.509933789452551</v>
      </c>
      <c r="H30" s="1" t="n">
        <v>0.588075992709145</v>
      </c>
      <c r="I30" s="1" t="n">
        <v>0.518848345083101</v>
      </c>
      <c r="J30" s="1" t="n">
        <v>0.0930909546086929</v>
      </c>
    </row>
    <row r="31" customFormat="false" ht="15" hidden="false" customHeight="false" outlineLevel="0" collapsed="false">
      <c r="A31" s="1" t="s">
        <v>67</v>
      </c>
      <c r="B31" s="1" t="s">
        <v>17</v>
      </c>
      <c r="C31" s="1" t="s">
        <v>13</v>
      </c>
      <c r="D31" s="1" t="s">
        <v>14</v>
      </c>
      <c r="E31" s="1" t="n">
        <v>0.575925925925926</v>
      </c>
      <c r="F31" s="1" t="n">
        <v>0.607006794018989</v>
      </c>
      <c r="G31" s="1" t="n">
        <v>0.557907959662526</v>
      </c>
      <c r="H31" s="1" t="n">
        <v>0.558053232929358</v>
      </c>
      <c r="I31" s="1" t="n">
        <v>0.607006794018989</v>
      </c>
      <c r="J31" s="1" t="n">
        <v>0.0316765003926496</v>
      </c>
    </row>
    <row r="32" customFormat="false" ht="15" hidden="false" customHeight="false" outlineLevel="0" collapsed="false">
      <c r="A32" s="1" t="s">
        <v>56</v>
      </c>
      <c r="B32" s="1" t="s">
        <v>17</v>
      </c>
      <c r="C32" s="1" t="s">
        <v>13</v>
      </c>
      <c r="D32" s="1" t="s">
        <v>14</v>
      </c>
      <c r="E32" s="1" t="n">
        <v>0.574074074074074</v>
      </c>
      <c r="F32" s="1" t="n">
        <v>0.588871465594027</v>
      </c>
      <c r="G32" s="1" t="n">
        <v>0.546848870207437</v>
      </c>
      <c r="H32" s="1" t="n">
        <v>0.54078322987889</v>
      </c>
      <c r="I32" s="1" t="n">
        <v>0.588871465594027</v>
      </c>
      <c r="J32" s="1" t="n">
        <v>0.0831722274212964</v>
      </c>
    </row>
    <row r="33" customFormat="false" ht="15" hidden="false" customHeight="false" outlineLevel="0" collapsed="false">
      <c r="A33" s="1" t="s">
        <v>54</v>
      </c>
      <c r="B33" s="1" t="s">
        <v>17</v>
      </c>
      <c r="C33" s="1" t="s">
        <v>13</v>
      </c>
      <c r="D33" s="1" t="s">
        <v>14</v>
      </c>
      <c r="E33" s="1" t="n">
        <v>0.57037037037037</v>
      </c>
      <c r="F33" s="1" t="n">
        <v>0.584296897208482</v>
      </c>
      <c r="G33" s="1" t="n">
        <v>0.539429937250196</v>
      </c>
      <c r="H33" s="1" t="n">
        <v>0.541183416256946</v>
      </c>
      <c r="I33" s="1" t="n">
        <v>0.584296897208482</v>
      </c>
      <c r="J33" s="1" t="n">
        <v>0.0424953645521318</v>
      </c>
    </row>
    <row r="34" customFormat="false" ht="15" hidden="false" customHeight="false" outlineLevel="0" collapsed="false">
      <c r="A34" s="1" t="s">
        <v>69</v>
      </c>
      <c r="B34" s="1" t="s">
        <v>1</v>
      </c>
      <c r="C34" s="1" t="s">
        <v>13</v>
      </c>
      <c r="D34" s="1" t="s">
        <v>14</v>
      </c>
      <c r="E34" s="1" t="n">
        <v>0.57037037037037</v>
      </c>
      <c r="F34" s="1" t="n">
        <v>0.53329772869407</v>
      </c>
      <c r="G34" s="1" t="n">
        <v>0.49931741687342</v>
      </c>
      <c r="H34" s="1" t="n">
        <v>0.562410308447715</v>
      </c>
      <c r="I34" s="1" t="n">
        <v>0.53329772869407</v>
      </c>
      <c r="J34" s="1" t="n">
        <v>0.0301852397466261</v>
      </c>
    </row>
    <row r="35" customFormat="false" ht="15" hidden="false" customHeight="false" outlineLevel="0" collapsed="false">
      <c r="A35" s="1" t="s">
        <v>27</v>
      </c>
      <c r="B35" s="1" t="s">
        <v>23</v>
      </c>
      <c r="C35" s="1" t="s">
        <v>13</v>
      </c>
      <c r="D35" s="1" t="s">
        <v>14</v>
      </c>
      <c r="E35" s="1" t="n">
        <v>0.568518518518519</v>
      </c>
      <c r="F35" s="1" t="n">
        <v>0.547827287888263</v>
      </c>
      <c r="G35" s="1" t="n">
        <v>0.553580550117049</v>
      </c>
      <c r="H35" s="1" t="n">
        <v>0.576029859251113</v>
      </c>
      <c r="I35" s="1" t="n">
        <v>0.547827287888263</v>
      </c>
      <c r="J35" s="1" t="n">
        <v>0.0495208819290239</v>
      </c>
    </row>
    <row r="36" customFormat="false" ht="15" hidden="false" customHeight="false" outlineLevel="0" collapsed="false">
      <c r="A36" s="1" t="s">
        <v>64</v>
      </c>
      <c r="B36" s="1" t="s">
        <v>23</v>
      </c>
      <c r="C36" s="1" t="s">
        <v>13</v>
      </c>
      <c r="D36" s="1" t="s">
        <v>14</v>
      </c>
      <c r="E36" s="1" t="n">
        <v>0.566666666666667</v>
      </c>
      <c r="F36" s="1" t="n">
        <v>0.531992675346334</v>
      </c>
      <c r="G36" s="1" t="n">
        <v>0.519748946806536</v>
      </c>
      <c r="H36" s="1" t="n">
        <v>0.524910095326388</v>
      </c>
      <c r="I36" s="1" t="n">
        <v>0.531992675346334</v>
      </c>
      <c r="J36" s="1" t="n">
        <v>0.0517813616309549</v>
      </c>
    </row>
    <row r="37" customFormat="false" ht="15" hidden="false" customHeight="false" outlineLevel="0" collapsed="false">
      <c r="A37" s="1" t="s">
        <v>55</v>
      </c>
      <c r="B37" s="1" t="s">
        <v>17</v>
      </c>
      <c r="C37" s="1" t="s">
        <v>13</v>
      </c>
      <c r="D37" s="1" t="s">
        <v>14</v>
      </c>
      <c r="E37" s="1" t="n">
        <v>0.566666666666667</v>
      </c>
      <c r="F37" s="1" t="n">
        <v>0.606733280269866</v>
      </c>
      <c r="G37" s="1" t="n">
        <v>0.554195793631466</v>
      </c>
      <c r="H37" s="1" t="n">
        <v>0.561384699426285</v>
      </c>
      <c r="I37" s="1" t="n">
        <v>0.606733280269866</v>
      </c>
      <c r="J37" s="1" t="n">
        <v>0.0702263121721475</v>
      </c>
    </row>
    <row r="38" customFormat="false" ht="15" hidden="false" customHeight="false" outlineLevel="0" collapsed="false">
      <c r="A38" s="1" t="s">
        <v>24</v>
      </c>
      <c r="B38" s="1" t="s">
        <v>23</v>
      </c>
      <c r="C38" s="1" t="s">
        <v>13</v>
      </c>
      <c r="D38" s="1" t="s">
        <v>14</v>
      </c>
      <c r="E38" s="1" t="n">
        <v>0.557407407407407</v>
      </c>
      <c r="F38" s="1" t="n">
        <v>0.517394335001042</v>
      </c>
      <c r="G38" s="1" t="n">
        <v>0.518966847851229</v>
      </c>
      <c r="H38" s="1" t="n">
        <v>0.545535447576669</v>
      </c>
      <c r="I38" s="1" t="n">
        <v>0.517394335001042</v>
      </c>
      <c r="J38" s="1" t="n">
        <v>0.0759160790454558</v>
      </c>
    </row>
    <row r="39" customFormat="false" ht="15" hidden="false" customHeight="false" outlineLevel="0" collapsed="false">
      <c r="A39" s="1" t="s">
        <v>66</v>
      </c>
      <c r="B39" s="1" t="s">
        <v>17</v>
      </c>
      <c r="C39" s="1" t="s">
        <v>13</v>
      </c>
      <c r="D39" s="1" t="s">
        <v>14</v>
      </c>
      <c r="E39" s="1" t="n">
        <v>0.557407407407407</v>
      </c>
      <c r="F39" s="1" t="n">
        <v>0.572899219682756</v>
      </c>
      <c r="G39" s="1" t="n">
        <v>0.524482629716999</v>
      </c>
      <c r="H39" s="1" t="n">
        <v>0.530336838957563</v>
      </c>
      <c r="I39" s="1" t="n">
        <v>0.572899219682756</v>
      </c>
      <c r="J39" s="1" t="n">
        <v>0.0601979664194215</v>
      </c>
    </row>
    <row r="40" customFormat="false" ht="15" hidden="false" customHeight="false" outlineLevel="0" collapsed="false">
      <c r="A40" s="1" t="s">
        <v>22</v>
      </c>
      <c r="B40" s="1" t="s">
        <v>23</v>
      </c>
      <c r="C40" s="1" t="s">
        <v>13</v>
      </c>
      <c r="D40" s="1" t="s">
        <v>14</v>
      </c>
      <c r="E40" s="1" t="n">
        <v>0.548148148148148</v>
      </c>
      <c r="F40" s="1" t="n">
        <v>0.515416749578335</v>
      </c>
      <c r="G40" s="1" t="n">
        <v>0.510194903329458</v>
      </c>
      <c r="H40" s="1" t="n">
        <v>0.554717134316001</v>
      </c>
      <c r="I40" s="1" t="n">
        <v>0.515416749578335</v>
      </c>
      <c r="J40" s="1" t="n">
        <v>0.0581410837831017</v>
      </c>
    </row>
    <row r="41" customFormat="false" ht="15" hidden="false" customHeight="false" outlineLevel="0" collapsed="false">
      <c r="A41" s="1" t="s">
        <v>29</v>
      </c>
      <c r="B41" s="1" t="s">
        <v>17</v>
      </c>
      <c r="C41" s="1" t="s">
        <v>13</v>
      </c>
      <c r="D41" s="1" t="s">
        <v>14</v>
      </c>
      <c r="E41" s="1" t="n">
        <v>0.535185185185185</v>
      </c>
      <c r="F41" s="1" t="n">
        <v>0.56533830329562</v>
      </c>
      <c r="G41" s="1" t="n">
        <v>0.512731781179352</v>
      </c>
      <c r="H41" s="1" t="n">
        <v>0.535970712472831</v>
      </c>
      <c r="I41" s="1" t="n">
        <v>0.56533830329562</v>
      </c>
      <c r="J41" s="1" t="n">
        <v>0.0975042631270143</v>
      </c>
    </row>
    <row r="42" customFormat="false" ht="15" hidden="false" customHeight="false" outlineLevel="0" collapsed="false">
      <c r="A42" s="1" t="s">
        <v>61</v>
      </c>
      <c r="B42" s="1" t="s">
        <v>23</v>
      </c>
      <c r="C42" s="1" t="s">
        <v>13</v>
      </c>
      <c r="D42" s="1" t="s">
        <v>14</v>
      </c>
      <c r="E42" s="1" t="n">
        <v>0.524074074074074</v>
      </c>
      <c r="F42" s="1" t="n">
        <v>0.47468999327231</v>
      </c>
      <c r="G42" s="1" t="n">
        <v>0.480839682638038</v>
      </c>
      <c r="H42" s="1" t="n">
        <v>0.515668644425485</v>
      </c>
      <c r="I42" s="1" t="n">
        <v>0.47468999327231</v>
      </c>
      <c r="J42" s="1" t="n">
        <v>0.0707388351212893</v>
      </c>
    </row>
    <row r="43" customFormat="false" ht="15" hidden="false" customHeight="false" outlineLevel="0" collapsed="false">
      <c r="A43" s="1" t="s">
        <v>63</v>
      </c>
      <c r="B43" s="1" t="s">
        <v>23</v>
      </c>
      <c r="C43" s="1" t="s">
        <v>13</v>
      </c>
      <c r="D43" s="1" t="s">
        <v>14</v>
      </c>
      <c r="E43" s="1" t="n">
        <v>0.518518518518519</v>
      </c>
      <c r="F43" s="1" t="n">
        <v>0.536579194856634</v>
      </c>
      <c r="G43" s="1" t="n">
        <v>0.511482383476894</v>
      </c>
      <c r="H43" s="1" t="n">
        <v>0.526804598979114</v>
      </c>
      <c r="I43" s="1" t="n">
        <v>0.536579194856634</v>
      </c>
      <c r="J43" s="1" t="n">
        <v>0.0345333013066465</v>
      </c>
    </row>
    <row r="44" customFormat="false" ht="15" hidden="false" customHeight="false" outlineLevel="0" collapsed="false">
      <c r="A44" s="1" t="s">
        <v>50</v>
      </c>
      <c r="B44" s="1" t="s">
        <v>23</v>
      </c>
      <c r="C44" s="1" t="s">
        <v>13</v>
      </c>
      <c r="D44" s="1" t="s">
        <v>14</v>
      </c>
      <c r="E44" s="1" t="n">
        <v>0.496296296296296</v>
      </c>
      <c r="F44" s="1" t="n">
        <v>0.519649082286277</v>
      </c>
      <c r="G44" s="1" t="n">
        <v>0.491112673885653</v>
      </c>
      <c r="H44" s="1" t="n">
        <v>0.49749879100061</v>
      </c>
      <c r="I44" s="1" t="n">
        <v>0.519649082286277</v>
      </c>
      <c r="J44" s="1" t="n">
        <v>0.0526133899918431</v>
      </c>
    </row>
    <row r="45" customFormat="false" ht="15" hidden="false" customHeight="false" outlineLevel="0" collapsed="false">
      <c r="A45" s="1" t="s">
        <v>34</v>
      </c>
      <c r="B45" s="1" t="s">
        <v>17</v>
      </c>
      <c r="C45" s="1" t="s">
        <v>13</v>
      </c>
      <c r="D45" s="1" t="s">
        <v>14</v>
      </c>
      <c r="E45" s="1" t="n">
        <v>0.496296296296296</v>
      </c>
      <c r="F45" s="1" t="n">
        <v>0.518582921143897</v>
      </c>
      <c r="G45" s="1" t="n">
        <v>0.45955840178709</v>
      </c>
      <c r="H45" s="1" t="n">
        <v>0.499035640283359</v>
      </c>
      <c r="I45" s="1" t="n">
        <v>0.518582921143897</v>
      </c>
      <c r="J45" s="1" t="n">
        <v>0.100457939351402</v>
      </c>
    </row>
    <row r="46" customFormat="false" ht="15" hidden="false" customHeight="false" outlineLevel="0" collapsed="false">
      <c r="A46" s="1" t="s">
        <v>52</v>
      </c>
      <c r="B46" s="1" t="s">
        <v>23</v>
      </c>
      <c r="C46" s="1" t="s">
        <v>13</v>
      </c>
      <c r="D46" s="1" t="s">
        <v>14</v>
      </c>
      <c r="E46" s="1" t="n">
        <v>0.477777777777778</v>
      </c>
      <c r="F46" s="1" t="n">
        <v>0.503499050069172</v>
      </c>
      <c r="G46" s="1" t="n">
        <v>0.476240915054619</v>
      </c>
      <c r="H46" s="1" t="n">
        <v>0.483256454375803</v>
      </c>
      <c r="I46" s="1" t="n">
        <v>0.503499050069172</v>
      </c>
      <c r="J46" s="1" t="n">
        <v>0.0547438865196923</v>
      </c>
    </row>
    <row r="47" customFormat="false" ht="15" hidden="false" customHeight="false" outlineLevel="0" collapsed="false">
      <c r="A47" s="1" t="s">
        <v>46</v>
      </c>
      <c r="B47" s="1" t="s">
        <v>23</v>
      </c>
      <c r="C47" s="1" t="s">
        <v>13</v>
      </c>
      <c r="D47" s="1" t="s">
        <v>14</v>
      </c>
      <c r="E47" s="1" t="n">
        <v>0.457407407407407</v>
      </c>
      <c r="F47" s="1" t="n">
        <v>0.493557301438399</v>
      </c>
      <c r="G47" s="1" t="n">
        <v>0.464127685681144</v>
      </c>
      <c r="H47" s="1" t="n">
        <v>0.477448349414256</v>
      </c>
      <c r="I47" s="1" t="n">
        <v>0.493557301438399</v>
      </c>
      <c r="J47" s="1" t="n">
        <v>0.0547442635835911</v>
      </c>
    </row>
    <row r="48" customFormat="false" ht="15" hidden="false" customHeight="false" outlineLevel="0" collapsed="false">
      <c r="A48" s="1" t="s">
        <v>44</v>
      </c>
      <c r="B48" s="1" t="s">
        <v>23</v>
      </c>
      <c r="C48" s="1" t="s">
        <v>13</v>
      </c>
      <c r="D48" s="1" t="s">
        <v>14</v>
      </c>
      <c r="E48" s="1" t="n">
        <v>0.453703703703704</v>
      </c>
      <c r="F48" s="1" t="n">
        <v>0.445228492713249</v>
      </c>
      <c r="G48" s="1" t="n">
        <v>0.441456852647313</v>
      </c>
      <c r="H48" s="1" t="n">
        <v>0.453544927207439</v>
      </c>
      <c r="I48" s="1" t="n">
        <v>0.445228492713249</v>
      </c>
      <c r="J48" s="1" t="n">
        <v>0.0634959073574481</v>
      </c>
    </row>
    <row r="49" customFormat="false" ht="15" hidden="false" customHeight="false" outlineLevel="0" collapsed="false">
      <c r="A49" s="1" t="s">
        <v>62</v>
      </c>
      <c r="B49" s="1" t="s">
        <v>23</v>
      </c>
      <c r="C49" s="1" t="s">
        <v>13</v>
      </c>
      <c r="D49" s="1" t="s">
        <v>14</v>
      </c>
      <c r="E49" s="1" t="n">
        <v>0.446296296296296</v>
      </c>
      <c r="F49" s="1" t="n">
        <v>0.471438493755567</v>
      </c>
      <c r="G49" s="1" t="n">
        <v>0.447224847349969</v>
      </c>
      <c r="H49" s="1" t="n">
        <v>0.466404485236433</v>
      </c>
      <c r="I49" s="1" t="n">
        <v>0.471438493755567</v>
      </c>
      <c r="J49" s="1" t="n">
        <v>0.0849894470385929</v>
      </c>
    </row>
    <row r="50" customFormat="false" ht="15" hidden="false" customHeight="false" outlineLevel="0" collapsed="false">
      <c r="A50" s="1" t="s">
        <v>49</v>
      </c>
      <c r="B50" s="1" t="s">
        <v>17</v>
      </c>
      <c r="C50" s="1" t="s">
        <v>13</v>
      </c>
      <c r="D50" s="1" t="s">
        <v>14</v>
      </c>
      <c r="E50" s="1" t="n">
        <v>0.440740740740741</v>
      </c>
      <c r="F50" s="1" t="n">
        <v>0.549673434627703</v>
      </c>
      <c r="G50" s="1" t="n">
        <v>0.448738183976473</v>
      </c>
      <c r="H50" s="1" t="n">
        <v>0.45593701522604</v>
      </c>
      <c r="I50" s="1" t="n">
        <v>0.549673434627703</v>
      </c>
      <c r="J50" s="1" t="n">
        <v>0.0883770601509569</v>
      </c>
    </row>
    <row r="51" customFormat="false" ht="15" hidden="false" customHeight="false" outlineLevel="0" collapsed="false">
      <c r="A51" s="1" t="s">
        <v>45</v>
      </c>
      <c r="B51" s="1" t="s">
        <v>1</v>
      </c>
      <c r="C51" s="1" t="s">
        <v>13</v>
      </c>
      <c r="D51" s="1" t="s">
        <v>14</v>
      </c>
      <c r="E51" s="1" t="n">
        <v>0.435185185185185</v>
      </c>
      <c r="F51" s="1" t="n">
        <v>0.583043746565088</v>
      </c>
      <c r="G51" s="1" t="n">
        <v>0.46147515944202</v>
      </c>
      <c r="H51" s="1" t="n">
        <v>0.494175309718519</v>
      </c>
      <c r="I51" s="1" t="n">
        <v>0.583043746565088</v>
      </c>
      <c r="J51" s="1" t="n">
        <v>0.0408024321686847</v>
      </c>
    </row>
    <row r="52" customFormat="false" ht="15" hidden="false" customHeight="false" outlineLevel="0" collapsed="false">
      <c r="A52" s="1" t="s">
        <v>35</v>
      </c>
      <c r="B52" s="1" t="s">
        <v>26</v>
      </c>
      <c r="C52" s="1" t="s">
        <v>13</v>
      </c>
      <c r="D52" s="1" t="s">
        <v>14</v>
      </c>
      <c r="E52" s="1" t="n">
        <v>0.42037037037037</v>
      </c>
      <c r="F52" s="1" t="n">
        <v>0.397666391873709</v>
      </c>
      <c r="G52" s="1" t="n">
        <v>0.359730248908895</v>
      </c>
      <c r="H52" s="1" t="n">
        <v>0.431813080305684</v>
      </c>
      <c r="I52" s="1" t="n">
        <v>0.397666391873709</v>
      </c>
      <c r="J52" s="1" t="n">
        <v>0.106200073834542</v>
      </c>
    </row>
    <row r="53" customFormat="false" ht="15" hidden="false" customHeight="false" outlineLevel="0" collapsed="false">
      <c r="A53" s="1" t="s">
        <v>41</v>
      </c>
      <c r="B53" s="1" t="s">
        <v>23</v>
      </c>
      <c r="C53" s="1" t="s">
        <v>13</v>
      </c>
      <c r="D53" s="1" t="s">
        <v>14</v>
      </c>
      <c r="E53" s="1" t="n">
        <v>0.42037037037037</v>
      </c>
      <c r="F53" s="1" t="n">
        <v>0.414781563287661</v>
      </c>
      <c r="G53" s="1" t="n">
        <v>0.391959512776439</v>
      </c>
      <c r="H53" s="1" t="n">
        <v>0.409653321832565</v>
      </c>
      <c r="I53" s="1" t="n">
        <v>0.414781563287661</v>
      </c>
      <c r="J53" s="1" t="n">
        <v>0.0284812485134956</v>
      </c>
    </row>
    <row r="54" customFormat="false" ht="15" hidden="false" customHeight="false" outlineLevel="0" collapsed="false">
      <c r="A54" s="1" t="s">
        <v>37</v>
      </c>
      <c r="B54" s="1" t="s">
        <v>23</v>
      </c>
      <c r="C54" s="1" t="s">
        <v>13</v>
      </c>
      <c r="D54" s="1" t="s">
        <v>14</v>
      </c>
      <c r="E54" s="1" t="n">
        <v>0.416666666666667</v>
      </c>
      <c r="F54" s="1" t="n">
        <v>0.456260683760684</v>
      </c>
      <c r="G54" s="1" t="n">
        <v>0.4233197457189</v>
      </c>
      <c r="H54" s="1" t="n">
        <v>0.456396954740461</v>
      </c>
      <c r="I54" s="1" t="n">
        <v>0.456260683760684</v>
      </c>
      <c r="J54" s="1" t="n">
        <v>0.050929906677509</v>
      </c>
    </row>
    <row r="55" customFormat="false" ht="15" hidden="false" customHeight="false" outlineLevel="0" collapsed="false">
      <c r="A55" s="1" t="s">
        <v>47</v>
      </c>
      <c r="B55" s="1" t="s">
        <v>23</v>
      </c>
      <c r="C55" s="1" t="s">
        <v>13</v>
      </c>
      <c r="D55" s="1" t="s">
        <v>14</v>
      </c>
      <c r="E55" s="1" t="n">
        <v>0.401851851851852</v>
      </c>
      <c r="F55" s="1" t="n">
        <v>0.49525265554229</v>
      </c>
      <c r="G55" s="1" t="n">
        <v>0.408967320590356</v>
      </c>
      <c r="H55" s="1" t="n">
        <v>0.414923105562682</v>
      </c>
      <c r="I55" s="1" t="n">
        <v>0.49525265554229</v>
      </c>
      <c r="J55" s="1" t="n">
        <v>0.0874234177112463</v>
      </c>
    </row>
    <row r="56" customFormat="false" ht="15" hidden="false" customHeight="false" outlineLevel="0" collapsed="false">
      <c r="A56" s="1" t="s">
        <v>36</v>
      </c>
      <c r="B56" s="1" t="s">
        <v>26</v>
      </c>
      <c r="C56" s="1" t="s">
        <v>13</v>
      </c>
      <c r="D56" s="1" t="s">
        <v>14</v>
      </c>
      <c r="E56" s="1" t="n">
        <v>0.388888888888889</v>
      </c>
      <c r="F56" s="1" t="n">
        <v>0.406675550059696</v>
      </c>
      <c r="G56" s="1" t="n">
        <v>0.346025082064683</v>
      </c>
      <c r="H56" s="1" t="n">
        <v>0.362950906459043</v>
      </c>
      <c r="I56" s="1" t="n">
        <v>0.406675550059696</v>
      </c>
      <c r="J56" s="1" t="n">
        <v>0.122168635325027</v>
      </c>
    </row>
    <row r="57" customFormat="false" ht="15" hidden="false" customHeight="false" outlineLevel="0" collapsed="false">
      <c r="A57" s="1" t="s">
        <v>51</v>
      </c>
      <c r="B57" s="1" t="s">
        <v>26</v>
      </c>
      <c r="C57" s="1" t="s">
        <v>13</v>
      </c>
      <c r="D57" s="1" t="s">
        <v>14</v>
      </c>
      <c r="E57" s="1" t="n">
        <v>0.327777777777778</v>
      </c>
      <c r="F57" s="1" t="n">
        <v>0.428084100858491</v>
      </c>
      <c r="G57" s="1" t="n">
        <v>0.341072926374697</v>
      </c>
      <c r="H57" s="1" t="n">
        <v>0.423155183746172</v>
      </c>
      <c r="I57" s="1" t="n">
        <v>0.428084100858491</v>
      </c>
      <c r="J57" s="1" t="n">
        <v>0.050989552477398</v>
      </c>
    </row>
    <row r="58" customFormat="false" ht="15" hidden="false" customHeight="false" outlineLevel="0" collapsed="false">
      <c r="A58" s="1" t="s">
        <v>59</v>
      </c>
      <c r="B58" s="1" t="s">
        <v>26</v>
      </c>
      <c r="C58" s="1" t="s">
        <v>13</v>
      </c>
      <c r="D58" s="1" t="s">
        <v>14</v>
      </c>
      <c r="E58" s="1" t="n">
        <v>0.316666666666667</v>
      </c>
      <c r="F58" s="1" t="n">
        <v>0.406696206909622</v>
      </c>
      <c r="G58" s="1" t="n">
        <v>0.343860910242592</v>
      </c>
      <c r="H58" s="1" t="n">
        <v>0.49759676623848</v>
      </c>
      <c r="I58" s="1" t="n">
        <v>0.406696206909622</v>
      </c>
      <c r="J58" s="1" t="n">
        <v>0.0992969189562354</v>
      </c>
    </row>
    <row r="59" customFormat="false" ht="15" hidden="false" customHeight="false" outlineLevel="0" collapsed="false">
      <c r="A59" s="1" t="s">
        <v>38</v>
      </c>
      <c r="B59" s="1" t="s">
        <v>26</v>
      </c>
      <c r="C59" s="1" t="s">
        <v>13</v>
      </c>
      <c r="D59" s="1" t="s">
        <v>14</v>
      </c>
      <c r="E59" s="1" t="n">
        <v>0.312962962962963</v>
      </c>
      <c r="F59" s="1" t="n">
        <v>0.430868535258779</v>
      </c>
      <c r="G59" s="1" t="n">
        <v>0.348036497506825</v>
      </c>
      <c r="H59" s="1" t="n">
        <v>0.460875113256964</v>
      </c>
      <c r="I59" s="1" t="n">
        <v>0.430868535258779</v>
      </c>
      <c r="J59" s="1" t="n">
        <v>0.0797606039008708</v>
      </c>
    </row>
    <row r="60" customFormat="false" ht="15" hidden="false" customHeight="false" outlineLevel="0" collapsed="false">
      <c r="A60" s="1" t="s">
        <v>58</v>
      </c>
      <c r="B60" s="1" t="s">
        <v>26</v>
      </c>
      <c r="C60" s="1" t="s">
        <v>13</v>
      </c>
      <c r="D60" s="1" t="s">
        <v>14</v>
      </c>
      <c r="E60" s="1" t="n">
        <v>0.311111111111111</v>
      </c>
      <c r="F60" s="1" t="n">
        <v>0.411497976955294</v>
      </c>
      <c r="G60" s="1" t="n">
        <v>0.336937963531349</v>
      </c>
      <c r="H60" s="1" t="n">
        <v>0.411521553285031</v>
      </c>
      <c r="I60" s="1" t="n">
        <v>0.411497976955294</v>
      </c>
      <c r="J60" s="1" t="n">
        <v>0.111573134924465</v>
      </c>
    </row>
    <row r="61" customFormat="false" ht="15" hidden="false" customHeight="false" outlineLevel="0" collapsed="false">
      <c r="A61" s="1" t="s">
        <v>39</v>
      </c>
      <c r="B61" s="1" t="s">
        <v>26</v>
      </c>
      <c r="C61" s="1" t="s">
        <v>13</v>
      </c>
      <c r="D61" s="1" t="s">
        <v>14</v>
      </c>
      <c r="E61" s="1" t="n">
        <v>0.285185185185185</v>
      </c>
      <c r="F61" s="1" t="n">
        <v>0.338498801334167</v>
      </c>
      <c r="G61" s="1" t="n">
        <v>0.27064450495108</v>
      </c>
      <c r="H61" s="1" t="n">
        <v>0.41419432345714</v>
      </c>
      <c r="I61" s="1" t="n">
        <v>0.338498801334167</v>
      </c>
      <c r="J61" s="1" t="n">
        <v>0.0934552951361055</v>
      </c>
    </row>
    <row r="62" customFormat="false" ht="15" hidden="false" customHeight="false" outlineLevel="0" collapsed="false">
      <c r="A62" s="1" t="s">
        <v>48</v>
      </c>
      <c r="B62" s="1" t="s">
        <v>26</v>
      </c>
      <c r="C62" s="1" t="s">
        <v>13</v>
      </c>
      <c r="D62" s="1" t="s">
        <v>14</v>
      </c>
      <c r="E62" s="1" t="n">
        <v>0.237037037037037</v>
      </c>
      <c r="F62" s="1" t="n">
        <v>0.356018297420737</v>
      </c>
      <c r="G62" s="1" t="n">
        <v>0.268104200570949</v>
      </c>
      <c r="H62" s="1" t="n">
        <v>0.447069341771443</v>
      </c>
      <c r="I62" s="1" t="n">
        <v>0.356018297420737</v>
      </c>
      <c r="J62" s="1" t="n">
        <v>0.0321589414059386</v>
      </c>
    </row>
    <row r="63" customFormat="false" ht="15" hidden="false" customHeight="false" outlineLevel="0" collapsed="false">
      <c r="A63" s="1" t="s">
        <v>43</v>
      </c>
      <c r="B63" s="1" t="s">
        <v>26</v>
      </c>
      <c r="C63" s="1" t="s">
        <v>13</v>
      </c>
      <c r="D63" s="1" t="s">
        <v>14</v>
      </c>
      <c r="E63" s="1" t="n">
        <v>0.235185185185185</v>
      </c>
      <c r="F63" s="1" t="n">
        <v>0.362845303409328</v>
      </c>
      <c r="G63" s="1" t="n">
        <v>0.284418342296585</v>
      </c>
      <c r="H63" s="1" t="n">
        <v>0.394979394987683</v>
      </c>
      <c r="I63" s="1" t="n">
        <v>0.362845303409328</v>
      </c>
      <c r="J63" s="1" t="n">
        <v>0.0531692832923352</v>
      </c>
    </row>
    <row r="64" customFormat="false" ht="15" hidden="false" customHeight="false" outlineLevel="0" collapsed="false">
      <c r="A64" s="1" t="s">
        <v>19</v>
      </c>
      <c r="B64" s="1" t="s">
        <v>17</v>
      </c>
      <c r="C64" s="1" t="s">
        <v>13</v>
      </c>
      <c r="D64" s="1" t="s">
        <v>74</v>
      </c>
      <c r="E64" s="1" t="n">
        <v>0.709259259259259</v>
      </c>
      <c r="F64" s="1" t="n">
        <v>0.647327508196411</v>
      </c>
      <c r="G64" s="1" t="n">
        <v>0.630136392718792</v>
      </c>
      <c r="H64" s="1" t="n">
        <v>0.66910951774848</v>
      </c>
      <c r="I64" s="1" t="n">
        <v>0.647327508196411</v>
      </c>
      <c r="J64" s="1" t="n">
        <v>0.0445446382130914</v>
      </c>
    </row>
    <row r="65" customFormat="false" ht="15" hidden="false" customHeight="false" outlineLevel="0" collapsed="false">
      <c r="A65" s="1" t="s">
        <v>15</v>
      </c>
      <c r="B65" s="1" t="s">
        <v>1</v>
      </c>
      <c r="C65" s="1" t="s">
        <v>13</v>
      </c>
      <c r="D65" s="1" t="s">
        <v>74</v>
      </c>
      <c r="E65" s="1" t="n">
        <v>0.709259259259259</v>
      </c>
      <c r="F65" s="1" t="n">
        <v>0.655798794701234</v>
      </c>
      <c r="G65" s="1" t="n">
        <v>0.645040185110282</v>
      </c>
      <c r="H65" s="1" t="n">
        <v>0.703239392346542</v>
      </c>
      <c r="I65" s="1" t="n">
        <v>0.655798794701234</v>
      </c>
      <c r="J65" s="1" t="n">
        <v>0.054019286172009</v>
      </c>
    </row>
    <row r="66" customFormat="false" ht="15" hidden="false" customHeight="false" outlineLevel="0" collapsed="false">
      <c r="A66" s="1" t="s">
        <v>65</v>
      </c>
      <c r="B66" s="1" t="s">
        <v>17</v>
      </c>
      <c r="C66" s="1" t="s">
        <v>13</v>
      </c>
      <c r="D66" s="1" t="s">
        <v>74</v>
      </c>
      <c r="E66" s="1" t="n">
        <v>0.705555555555556</v>
      </c>
      <c r="F66" s="1" t="n">
        <v>0.640601370174541</v>
      </c>
      <c r="G66" s="1" t="n">
        <v>0.636030938118498</v>
      </c>
      <c r="H66" s="1" t="n">
        <v>0.662406007526872</v>
      </c>
      <c r="I66" s="1" t="n">
        <v>0.640601370174541</v>
      </c>
      <c r="J66" s="1" t="n">
        <v>0.0512138808361866</v>
      </c>
    </row>
    <row r="67" customFormat="false" ht="15" hidden="false" customHeight="false" outlineLevel="0" collapsed="false">
      <c r="A67" s="1" t="s">
        <v>1</v>
      </c>
      <c r="B67" s="1" t="s">
        <v>1</v>
      </c>
      <c r="C67" s="1" t="s">
        <v>18</v>
      </c>
      <c r="D67" s="1" t="s">
        <v>74</v>
      </c>
      <c r="E67" s="1" t="n">
        <v>0.701851851851852</v>
      </c>
      <c r="F67" s="1" t="n">
        <v>0.63025925294218</v>
      </c>
      <c r="G67" s="1" t="n">
        <v>0.595100131322614</v>
      </c>
      <c r="H67" s="1" t="n">
        <v>0.612636094488009</v>
      </c>
      <c r="I67" s="1" t="n">
        <v>0.63025925294218</v>
      </c>
      <c r="J67" s="1" t="n">
        <v>0.0516250046299935</v>
      </c>
    </row>
    <row r="68" customFormat="false" ht="15" hidden="false" customHeight="false" outlineLevel="0" collapsed="false">
      <c r="A68" s="1" t="s">
        <v>70</v>
      </c>
      <c r="B68" s="1" t="s">
        <v>1</v>
      </c>
      <c r="C68" s="1" t="s">
        <v>13</v>
      </c>
      <c r="D68" s="1" t="s">
        <v>74</v>
      </c>
      <c r="E68" s="1" t="n">
        <v>0.701851851851852</v>
      </c>
      <c r="F68" s="1" t="n">
        <v>0.663906359561847</v>
      </c>
      <c r="G68" s="1" t="n">
        <v>0.648115333691307</v>
      </c>
      <c r="H68" s="1" t="n">
        <v>0.674544154700823</v>
      </c>
      <c r="I68" s="1" t="n">
        <v>0.663906359561847</v>
      </c>
      <c r="J68" s="1" t="n">
        <v>0.0482640578615009</v>
      </c>
    </row>
    <row r="69" customFormat="false" ht="15" hidden="false" customHeight="false" outlineLevel="0" collapsed="false">
      <c r="A69" s="1" t="s">
        <v>73</v>
      </c>
      <c r="B69" s="1" t="s">
        <v>1</v>
      </c>
      <c r="C69" s="1" t="s">
        <v>13</v>
      </c>
      <c r="D69" s="1" t="s">
        <v>74</v>
      </c>
      <c r="E69" s="1" t="n">
        <v>0.698148148148148</v>
      </c>
      <c r="F69" s="1" t="n">
        <v>0.634137007978472</v>
      </c>
      <c r="G69" s="1" t="n">
        <v>0.617464078665695</v>
      </c>
      <c r="H69" s="1" t="n">
        <v>0.649711015388486</v>
      </c>
      <c r="I69" s="1" t="n">
        <v>0.634137007978472</v>
      </c>
      <c r="J69" s="1" t="n">
        <v>0.0305058142392208</v>
      </c>
    </row>
    <row r="70" customFormat="false" ht="15" hidden="false" customHeight="false" outlineLevel="0" collapsed="false">
      <c r="A70" s="1" t="s">
        <v>16</v>
      </c>
      <c r="B70" s="1" t="s">
        <v>1</v>
      </c>
      <c r="C70" s="1" t="s">
        <v>13</v>
      </c>
      <c r="D70" s="1" t="s">
        <v>74</v>
      </c>
      <c r="E70" s="1" t="n">
        <v>0.696296296296296</v>
      </c>
      <c r="F70" s="1" t="n">
        <v>0.649758809956981</v>
      </c>
      <c r="G70" s="1" t="n">
        <v>0.637415124032582</v>
      </c>
      <c r="H70" s="1" t="n">
        <v>0.654325270721003</v>
      </c>
      <c r="I70" s="1" t="n">
        <v>0.649758809956981</v>
      </c>
      <c r="J70" s="1" t="n">
        <v>0.0377026887736731</v>
      </c>
    </row>
    <row r="71" customFormat="false" ht="15" hidden="false" customHeight="false" outlineLevel="0" collapsed="false">
      <c r="A71" s="1" t="s">
        <v>21</v>
      </c>
      <c r="B71" s="1" t="s">
        <v>17</v>
      </c>
      <c r="C71" s="1" t="s">
        <v>13</v>
      </c>
      <c r="D71" s="1" t="s">
        <v>74</v>
      </c>
      <c r="E71" s="1" t="n">
        <v>0.688888888888889</v>
      </c>
      <c r="F71" s="1" t="n">
        <v>0.602140139670628</v>
      </c>
      <c r="G71" s="1" t="n">
        <v>0.608993225191269</v>
      </c>
      <c r="H71" s="1" t="n">
        <v>0.65317041555853</v>
      </c>
      <c r="I71" s="1" t="n">
        <v>0.602140139670628</v>
      </c>
      <c r="J71" s="1" t="n">
        <v>0.0532632256838548</v>
      </c>
    </row>
    <row r="72" customFormat="false" ht="15" hidden="false" customHeight="false" outlineLevel="0" collapsed="false">
      <c r="A72" s="1" t="s">
        <v>12</v>
      </c>
      <c r="B72" s="1" t="s">
        <v>1</v>
      </c>
      <c r="C72" s="1" t="s">
        <v>13</v>
      </c>
      <c r="D72" s="1" t="s">
        <v>74</v>
      </c>
      <c r="E72" s="1" t="n">
        <v>0.685185185185185</v>
      </c>
      <c r="F72" s="1" t="n">
        <v>0.632485774726629</v>
      </c>
      <c r="G72" s="1" t="n">
        <v>0.60374060585778</v>
      </c>
      <c r="H72" s="1" t="n">
        <v>0.633066723031756</v>
      </c>
      <c r="I72" s="1" t="n">
        <v>0.632485774726629</v>
      </c>
      <c r="J72" s="1" t="n">
        <v>0.0393358471469587</v>
      </c>
    </row>
    <row r="73" customFormat="false" ht="15" hidden="false" customHeight="false" outlineLevel="0" collapsed="false">
      <c r="A73" s="1" t="s">
        <v>68</v>
      </c>
      <c r="B73" s="1" t="s">
        <v>17</v>
      </c>
      <c r="C73" s="1" t="s">
        <v>13</v>
      </c>
      <c r="D73" s="1" t="s">
        <v>74</v>
      </c>
      <c r="E73" s="1" t="n">
        <v>0.683333333333333</v>
      </c>
      <c r="F73" s="1" t="n">
        <v>0.614438782761954</v>
      </c>
      <c r="G73" s="1" t="n">
        <v>0.592274557646368</v>
      </c>
      <c r="H73" s="1" t="n">
        <v>0.631883771707185</v>
      </c>
      <c r="I73" s="1" t="n">
        <v>0.614438782761954</v>
      </c>
      <c r="J73" s="1" t="n">
        <v>0.0246599678197566</v>
      </c>
    </row>
    <row r="74" customFormat="false" ht="15" hidden="false" customHeight="false" outlineLevel="0" collapsed="false">
      <c r="A74" s="1" t="s">
        <v>20</v>
      </c>
      <c r="B74" s="1" t="s">
        <v>17</v>
      </c>
      <c r="C74" s="1" t="s">
        <v>13</v>
      </c>
      <c r="D74" s="1" t="s">
        <v>74</v>
      </c>
      <c r="E74" s="1" t="n">
        <v>0.681481481481482</v>
      </c>
      <c r="F74" s="1" t="n">
        <v>0.608369364375462</v>
      </c>
      <c r="G74" s="1" t="n">
        <v>0.595869310889004</v>
      </c>
      <c r="H74" s="1" t="n">
        <v>0.625711808902829</v>
      </c>
      <c r="I74" s="1" t="n">
        <v>0.608369364375462</v>
      </c>
      <c r="J74" s="1" t="n">
        <v>0.0253484359808063</v>
      </c>
    </row>
    <row r="75" customFormat="false" ht="15" hidden="false" customHeight="false" outlineLevel="0" collapsed="false">
      <c r="A75" s="1" t="s">
        <v>17</v>
      </c>
      <c r="B75" s="1" t="s">
        <v>17</v>
      </c>
      <c r="C75" s="1" t="s">
        <v>18</v>
      </c>
      <c r="D75" s="1" t="s">
        <v>74</v>
      </c>
      <c r="E75" s="1" t="n">
        <v>0.675925925925926</v>
      </c>
      <c r="F75" s="1" t="n">
        <v>0.61522225064908</v>
      </c>
      <c r="G75" s="1" t="n">
        <v>0.596086783119687</v>
      </c>
      <c r="H75" s="1" t="n">
        <v>0.624120746829809</v>
      </c>
      <c r="I75" s="1" t="n">
        <v>0.61522225064908</v>
      </c>
      <c r="J75" s="1" t="n">
        <v>0.0246278720959912</v>
      </c>
    </row>
    <row r="76" customFormat="false" ht="15" hidden="false" customHeight="false" outlineLevel="0" collapsed="false">
      <c r="A76" s="1" t="s">
        <v>71</v>
      </c>
      <c r="B76" s="1" t="s">
        <v>1</v>
      </c>
      <c r="C76" s="1" t="s">
        <v>13</v>
      </c>
      <c r="D76" s="1" t="s">
        <v>74</v>
      </c>
      <c r="E76" s="1" t="n">
        <v>0.674074074074074</v>
      </c>
      <c r="F76" s="1" t="n">
        <v>0.685569046468437</v>
      </c>
      <c r="G76" s="1" t="n">
        <v>0.645878093188382</v>
      </c>
      <c r="H76" s="1" t="n">
        <v>0.639191961479366</v>
      </c>
      <c r="I76" s="1" t="n">
        <v>0.685569046468437</v>
      </c>
      <c r="J76" s="1" t="n">
        <v>0.0553251208814988</v>
      </c>
    </row>
    <row r="77" customFormat="false" ht="15" hidden="false" customHeight="false" outlineLevel="0" collapsed="false">
      <c r="A77" s="1" t="s">
        <v>25</v>
      </c>
      <c r="B77" s="1" t="s">
        <v>26</v>
      </c>
      <c r="C77" s="1" t="s">
        <v>13</v>
      </c>
      <c r="D77" s="1" t="s">
        <v>74</v>
      </c>
      <c r="E77" s="1" t="n">
        <v>0.646296296296296</v>
      </c>
      <c r="F77" s="1" t="n">
        <v>0.572586429491917</v>
      </c>
      <c r="G77" s="1" t="n">
        <v>0.577909886847644</v>
      </c>
      <c r="H77" s="1" t="n">
        <v>0.618988132678864</v>
      </c>
      <c r="I77" s="1" t="n">
        <v>0.572586429491917</v>
      </c>
      <c r="J77" s="1" t="n">
        <v>0.0298575713319615</v>
      </c>
    </row>
    <row r="78" customFormat="false" ht="15" hidden="false" customHeight="false" outlineLevel="0" collapsed="false">
      <c r="A78" s="1" t="s">
        <v>31</v>
      </c>
      <c r="B78" s="1" t="s">
        <v>1</v>
      </c>
      <c r="C78" s="1" t="s">
        <v>13</v>
      </c>
      <c r="D78" s="1" t="s">
        <v>74</v>
      </c>
      <c r="E78" s="1" t="n">
        <v>0.638888888888889</v>
      </c>
      <c r="F78" s="1" t="n">
        <v>0.645967673924991</v>
      </c>
      <c r="G78" s="1" t="n">
        <v>0.610890527786118</v>
      </c>
      <c r="H78" s="1" t="n">
        <v>0.608735104298279</v>
      </c>
      <c r="I78" s="1" t="n">
        <v>0.645967673924991</v>
      </c>
      <c r="J78" s="1" t="n">
        <v>0.0330612915041856</v>
      </c>
    </row>
    <row r="79" customFormat="false" ht="15" hidden="false" customHeight="false" outlineLevel="0" collapsed="false">
      <c r="A79" s="1" t="s">
        <v>40</v>
      </c>
      <c r="B79" s="1" t="s">
        <v>1</v>
      </c>
      <c r="C79" s="1" t="s">
        <v>13</v>
      </c>
      <c r="D79" s="1" t="s">
        <v>74</v>
      </c>
      <c r="E79" s="1" t="n">
        <v>0.638888888888889</v>
      </c>
      <c r="F79" s="1" t="n">
        <v>0.644935743457085</v>
      </c>
      <c r="G79" s="1" t="n">
        <v>0.60585659794675</v>
      </c>
      <c r="H79" s="1" t="n">
        <v>0.609845545513087</v>
      </c>
      <c r="I79" s="1" t="n">
        <v>0.644935743457085</v>
      </c>
      <c r="J79" s="1" t="n">
        <v>0.0559919876381358</v>
      </c>
    </row>
    <row r="80" customFormat="false" ht="15" hidden="false" customHeight="false" outlineLevel="0" collapsed="false">
      <c r="A80" s="1" t="s">
        <v>32</v>
      </c>
      <c r="B80" s="1" t="s">
        <v>1</v>
      </c>
      <c r="C80" s="1" t="s">
        <v>13</v>
      </c>
      <c r="D80" s="1" t="s">
        <v>74</v>
      </c>
      <c r="E80" s="1" t="n">
        <v>0.633333333333333</v>
      </c>
      <c r="F80" s="1" t="n">
        <v>0.641941814960108</v>
      </c>
      <c r="G80" s="1" t="n">
        <v>0.604714592734724</v>
      </c>
      <c r="H80" s="1" t="n">
        <v>0.604861762127107</v>
      </c>
      <c r="I80" s="1" t="n">
        <v>0.641941814960108</v>
      </c>
      <c r="J80" s="1" t="n">
        <v>0.0382067884485776</v>
      </c>
    </row>
    <row r="81" customFormat="false" ht="15" hidden="false" customHeight="false" outlineLevel="0" collapsed="false">
      <c r="A81" s="1" t="s">
        <v>42</v>
      </c>
      <c r="B81" s="1" t="s">
        <v>1</v>
      </c>
      <c r="C81" s="1" t="s">
        <v>13</v>
      </c>
      <c r="D81" s="1" t="s">
        <v>74</v>
      </c>
      <c r="E81" s="1" t="n">
        <v>0.633333333333333</v>
      </c>
      <c r="F81" s="1" t="n">
        <v>0.63476467299638</v>
      </c>
      <c r="G81" s="1" t="n">
        <v>0.594899859674893</v>
      </c>
      <c r="H81" s="1" t="n">
        <v>0.591549592599166</v>
      </c>
      <c r="I81" s="1" t="n">
        <v>0.63476467299638</v>
      </c>
      <c r="J81" s="1" t="n">
        <v>0.0317641205920992</v>
      </c>
    </row>
    <row r="82" customFormat="false" ht="15" hidden="false" customHeight="false" outlineLevel="0" collapsed="false">
      <c r="A82" s="1" t="s">
        <v>30</v>
      </c>
      <c r="B82" s="1" t="s">
        <v>26</v>
      </c>
      <c r="C82" s="1" t="s">
        <v>13</v>
      </c>
      <c r="D82" s="1" t="s">
        <v>74</v>
      </c>
      <c r="E82" s="1" t="n">
        <v>0.624074074074074</v>
      </c>
      <c r="F82" s="1" t="n">
        <v>0.539826489567343</v>
      </c>
      <c r="G82" s="1" t="n">
        <v>0.544507973172444</v>
      </c>
      <c r="H82" s="1" t="n">
        <v>0.591985217274981</v>
      </c>
      <c r="I82" s="1" t="n">
        <v>0.539826489567343</v>
      </c>
      <c r="J82" s="1" t="n">
        <v>0.0449909264851458</v>
      </c>
    </row>
    <row r="83" customFormat="false" ht="15" hidden="false" customHeight="false" outlineLevel="0" collapsed="false">
      <c r="A83" s="1" t="s">
        <v>60</v>
      </c>
      <c r="B83" s="1" t="s">
        <v>26</v>
      </c>
      <c r="C83" s="1" t="s">
        <v>13</v>
      </c>
      <c r="D83" s="1" t="s">
        <v>74</v>
      </c>
      <c r="E83" s="1" t="n">
        <v>0.616666666666667</v>
      </c>
      <c r="F83" s="1" t="n">
        <v>0.53972397521178</v>
      </c>
      <c r="G83" s="1" t="n">
        <v>0.544815767700192</v>
      </c>
      <c r="H83" s="1" t="n">
        <v>0.597692780614505</v>
      </c>
      <c r="I83" s="1" t="n">
        <v>0.53972397521178</v>
      </c>
      <c r="J83" s="1" t="n">
        <v>0.0497030379400749</v>
      </c>
    </row>
    <row r="84" customFormat="false" ht="15" hidden="false" customHeight="false" outlineLevel="0" collapsed="false">
      <c r="A84" s="1" t="s">
        <v>72</v>
      </c>
      <c r="B84" s="1" t="s">
        <v>1</v>
      </c>
      <c r="C84" s="1" t="s">
        <v>13</v>
      </c>
      <c r="D84" s="1" t="s">
        <v>74</v>
      </c>
      <c r="E84" s="1" t="n">
        <v>0.612962962962963</v>
      </c>
      <c r="F84" s="1" t="n">
        <v>0.642436714708056</v>
      </c>
      <c r="G84" s="1" t="n">
        <v>0.589898642331566</v>
      </c>
      <c r="H84" s="1" t="n">
        <v>0.602269123664214</v>
      </c>
      <c r="I84" s="1" t="n">
        <v>0.642436714708056</v>
      </c>
      <c r="J84" s="1" t="n">
        <v>0.0353118090332057</v>
      </c>
    </row>
    <row r="85" customFormat="false" ht="15" hidden="false" customHeight="false" outlineLevel="0" collapsed="false">
      <c r="A85" s="1" t="s">
        <v>26</v>
      </c>
      <c r="B85" s="1" t="s">
        <v>26</v>
      </c>
      <c r="C85" s="1" t="s">
        <v>18</v>
      </c>
      <c r="D85" s="1" t="s">
        <v>74</v>
      </c>
      <c r="E85" s="1" t="n">
        <v>0.609259259259259</v>
      </c>
      <c r="F85" s="1" t="n">
        <v>0.500209932344079</v>
      </c>
      <c r="G85" s="1" t="n">
        <v>0.511385964030335</v>
      </c>
      <c r="H85" s="1" t="n">
        <v>0.611977350506314</v>
      </c>
      <c r="I85" s="1" t="n">
        <v>0.500209932344079</v>
      </c>
      <c r="J85" s="1" t="n">
        <v>0.0992148240507862</v>
      </c>
    </row>
    <row r="86" customFormat="false" ht="15" hidden="false" customHeight="false" outlineLevel="0" collapsed="false">
      <c r="A86" s="1" t="s">
        <v>28</v>
      </c>
      <c r="B86" s="1" t="s">
        <v>26</v>
      </c>
      <c r="C86" s="1" t="s">
        <v>13</v>
      </c>
      <c r="D86" s="1" t="s">
        <v>74</v>
      </c>
      <c r="E86" s="1" t="n">
        <v>0.6</v>
      </c>
      <c r="F86" s="1" t="n">
        <v>0.536470675327383</v>
      </c>
      <c r="G86" s="1" t="n">
        <v>0.531586974201144</v>
      </c>
      <c r="H86" s="1" t="n">
        <v>0.57246453717042</v>
      </c>
      <c r="I86" s="1" t="n">
        <v>0.536470675327383</v>
      </c>
      <c r="J86" s="1" t="n">
        <v>0.0537842521068181</v>
      </c>
    </row>
    <row r="87" customFormat="false" ht="15" hidden="false" customHeight="false" outlineLevel="0" collapsed="false">
      <c r="A87" s="1" t="s">
        <v>23</v>
      </c>
      <c r="B87" s="1" t="s">
        <v>23</v>
      </c>
      <c r="C87" s="1" t="s">
        <v>18</v>
      </c>
      <c r="D87" s="1" t="s">
        <v>74</v>
      </c>
      <c r="E87" s="1" t="n">
        <v>0.590740740740741</v>
      </c>
      <c r="F87" s="1" t="n">
        <v>0.552132630242387</v>
      </c>
      <c r="G87" s="1" t="n">
        <v>0.535354898263509</v>
      </c>
      <c r="H87" s="1" t="n">
        <v>0.538929773536738</v>
      </c>
      <c r="I87" s="1" t="n">
        <v>0.552132630242387</v>
      </c>
      <c r="J87" s="1" t="n">
        <v>0.0595069578163627</v>
      </c>
    </row>
    <row r="88" customFormat="false" ht="15" hidden="false" customHeight="false" outlineLevel="0" collapsed="false">
      <c r="A88" s="1" t="s">
        <v>57</v>
      </c>
      <c r="B88" s="1" t="s">
        <v>26</v>
      </c>
      <c r="C88" s="1" t="s">
        <v>13</v>
      </c>
      <c r="D88" s="1" t="s">
        <v>74</v>
      </c>
      <c r="E88" s="1" t="n">
        <v>0.590740740740741</v>
      </c>
      <c r="F88" s="1" t="n">
        <v>0.540983877233877</v>
      </c>
      <c r="G88" s="1" t="n">
        <v>0.546007196406654</v>
      </c>
      <c r="H88" s="1" t="n">
        <v>0.587442805383296</v>
      </c>
      <c r="I88" s="1" t="n">
        <v>0.540983877233877</v>
      </c>
      <c r="J88" s="1" t="n">
        <v>0.0361213915258159</v>
      </c>
    </row>
    <row r="89" customFormat="false" ht="15" hidden="false" customHeight="false" outlineLevel="0" collapsed="false">
      <c r="A89" s="1" t="s">
        <v>55</v>
      </c>
      <c r="B89" s="1" t="s">
        <v>17</v>
      </c>
      <c r="C89" s="1" t="s">
        <v>13</v>
      </c>
      <c r="D89" s="1" t="s">
        <v>74</v>
      </c>
      <c r="E89" s="1" t="n">
        <v>0.587037037037037</v>
      </c>
      <c r="F89" s="1" t="n">
        <v>0.603084645706597</v>
      </c>
      <c r="G89" s="1" t="n">
        <v>0.565263209461558</v>
      </c>
      <c r="H89" s="1" t="n">
        <v>0.563978881656637</v>
      </c>
      <c r="I89" s="1" t="n">
        <v>0.603084645706597</v>
      </c>
      <c r="J89" s="1" t="n">
        <v>0.0602296872620195</v>
      </c>
    </row>
    <row r="90" customFormat="false" ht="15" hidden="false" customHeight="false" outlineLevel="0" collapsed="false">
      <c r="A90" s="1" t="s">
        <v>53</v>
      </c>
      <c r="B90" s="1" t="s">
        <v>17</v>
      </c>
      <c r="C90" s="1" t="s">
        <v>13</v>
      </c>
      <c r="D90" s="1" t="s">
        <v>74</v>
      </c>
      <c r="E90" s="1" t="n">
        <v>0.585185185185185</v>
      </c>
      <c r="F90" s="1" t="n">
        <v>0.607895559724828</v>
      </c>
      <c r="G90" s="1" t="n">
        <v>0.560994569753413</v>
      </c>
      <c r="H90" s="1" t="n">
        <v>0.571523122108066</v>
      </c>
      <c r="I90" s="1" t="n">
        <v>0.607895559724828</v>
      </c>
      <c r="J90" s="1" t="n">
        <v>0.0288691205785696</v>
      </c>
    </row>
    <row r="91" customFormat="false" ht="15" hidden="false" customHeight="false" outlineLevel="0" collapsed="false">
      <c r="A91" s="1" t="s">
        <v>33</v>
      </c>
      <c r="B91" s="1" t="s">
        <v>1</v>
      </c>
      <c r="C91" s="1" t="s">
        <v>13</v>
      </c>
      <c r="D91" s="1" t="s">
        <v>74</v>
      </c>
      <c r="E91" s="1" t="n">
        <v>0.583333333333333</v>
      </c>
      <c r="F91" s="1" t="n">
        <v>0.575483114446529</v>
      </c>
      <c r="G91" s="1" t="n">
        <v>0.526698668174308</v>
      </c>
      <c r="H91" s="1" t="n">
        <v>0.555761254080376</v>
      </c>
      <c r="I91" s="1" t="n">
        <v>0.575483114446529</v>
      </c>
      <c r="J91" s="1" t="n">
        <v>0.11093157976608</v>
      </c>
    </row>
    <row r="92" customFormat="false" ht="15" hidden="false" customHeight="false" outlineLevel="0" collapsed="false">
      <c r="A92" s="1" t="s">
        <v>66</v>
      </c>
      <c r="B92" s="1" t="s">
        <v>17</v>
      </c>
      <c r="C92" s="1" t="s">
        <v>13</v>
      </c>
      <c r="D92" s="1" t="s">
        <v>74</v>
      </c>
      <c r="E92" s="1" t="n">
        <v>0.57962962962963</v>
      </c>
      <c r="F92" s="1" t="n">
        <v>0.579513379574355</v>
      </c>
      <c r="G92" s="1" t="n">
        <v>0.543530982575655</v>
      </c>
      <c r="H92" s="1" t="n">
        <v>0.540062203517229</v>
      </c>
      <c r="I92" s="1" t="n">
        <v>0.579513379574355</v>
      </c>
      <c r="J92" s="1" t="n">
        <v>0.0557060948437225</v>
      </c>
    </row>
    <row r="93" customFormat="false" ht="15" hidden="false" customHeight="false" outlineLevel="0" collapsed="false">
      <c r="A93" s="1" t="s">
        <v>24</v>
      </c>
      <c r="B93" s="1" t="s">
        <v>23</v>
      </c>
      <c r="C93" s="1" t="s">
        <v>13</v>
      </c>
      <c r="D93" s="1" t="s">
        <v>74</v>
      </c>
      <c r="E93" s="1" t="n">
        <v>0.574074074074074</v>
      </c>
      <c r="F93" s="1" t="n">
        <v>0.50392149686357</v>
      </c>
      <c r="G93" s="1" t="n">
        <v>0.501499066866053</v>
      </c>
      <c r="H93" s="1" t="n">
        <v>0.514231686669575</v>
      </c>
      <c r="I93" s="1" t="n">
        <v>0.50392149686357</v>
      </c>
      <c r="J93" s="1" t="n">
        <v>0.0848987112978299</v>
      </c>
    </row>
    <row r="94" customFormat="false" ht="15" hidden="false" customHeight="false" outlineLevel="0" collapsed="false">
      <c r="A94" s="1" t="s">
        <v>22</v>
      </c>
      <c r="B94" s="1" t="s">
        <v>23</v>
      </c>
      <c r="C94" s="1" t="s">
        <v>13</v>
      </c>
      <c r="D94" s="1" t="s">
        <v>74</v>
      </c>
      <c r="E94" s="1" t="n">
        <v>0.562962962962963</v>
      </c>
      <c r="F94" s="1" t="n">
        <v>0.513241242158925</v>
      </c>
      <c r="G94" s="1" t="n">
        <v>0.51782448975127</v>
      </c>
      <c r="H94" s="1" t="n">
        <v>0.537348914558137</v>
      </c>
      <c r="I94" s="1" t="n">
        <v>0.513241242158925</v>
      </c>
      <c r="J94" s="1" t="n">
        <v>0.0417685112547163</v>
      </c>
    </row>
    <row r="95" customFormat="false" ht="15" hidden="false" customHeight="false" outlineLevel="0" collapsed="false">
      <c r="A95" s="1" t="s">
        <v>56</v>
      </c>
      <c r="B95" s="1" t="s">
        <v>17</v>
      </c>
      <c r="C95" s="1" t="s">
        <v>13</v>
      </c>
      <c r="D95" s="1" t="s">
        <v>74</v>
      </c>
      <c r="E95" s="1" t="n">
        <v>0.562962962962963</v>
      </c>
      <c r="F95" s="1" t="n">
        <v>0.586621207383403</v>
      </c>
      <c r="G95" s="1" t="n">
        <v>0.549322312784489</v>
      </c>
      <c r="H95" s="1" t="n">
        <v>0.549914573280563</v>
      </c>
      <c r="I95" s="1" t="n">
        <v>0.586621207383403</v>
      </c>
      <c r="J95" s="1" t="n">
        <v>0.067984182922122</v>
      </c>
    </row>
    <row r="96" customFormat="false" ht="15" hidden="false" customHeight="false" outlineLevel="0" collapsed="false">
      <c r="A96" s="1" t="s">
        <v>64</v>
      </c>
      <c r="B96" s="1" t="s">
        <v>23</v>
      </c>
      <c r="C96" s="1" t="s">
        <v>13</v>
      </c>
      <c r="D96" s="1" t="s">
        <v>74</v>
      </c>
      <c r="E96" s="1" t="n">
        <v>0.561111111111111</v>
      </c>
      <c r="F96" s="1" t="n">
        <v>0.541680501070745</v>
      </c>
      <c r="G96" s="1" t="n">
        <v>0.536050243206372</v>
      </c>
      <c r="H96" s="1" t="n">
        <v>0.543416007975761</v>
      </c>
      <c r="I96" s="1" t="n">
        <v>0.541680501070745</v>
      </c>
      <c r="J96" s="1" t="n">
        <v>0.0405864068565454</v>
      </c>
    </row>
    <row r="97" customFormat="false" ht="15" hidden="false" customHeight="false" outlineLevel="0" collapsed="false">
      <c r="A97" s="1" t="s">
        <v>69</v>
      </c>
      <c r="B97" s="1" t="s">
        <v>1</v>
      </c>
      <c r="C97" s="1" t="s">
        <v>13</v>
      </c>
      <c r="D97" s="1" t="s">
        <v>74</v>
      </c>
      <c r="E97" s="1" t="n">
        <v>0.561111111111111</v>
      </c>
      <c r="F97" s="1" t="n">
        <v>0.526047138836773</v>
      </c>
      <c r="G97" s="1" t="n">
        <v>0.492319071191852</v>
      </c>
      <c r="H97" s="1" t="n">
        <v>0.553111605524167</v>
      </c>
      <c r="I97" s="1" t="n">
        <v>0.526047138836773</v>
      </c>
      <c r="J97" s="1" t="n">
        <v>0.031438277479081</v>
      </c>
    </row>
    <row r="98" customFormat="false" ht="15" hidden="false" customHeight="false" outlineLevel="0" collapsed="false">
      <c r="A98" s="1" t="s">
        <v>27</v>
      </c>
      <c r="B98" s="1" t="s">
        <v>23</v>
      </c>
      <c r="C98" s="1" t="s">
        <v>13</v>
      </c>
      <c r="D98" s="1" t="s">
        <v>74</v>
      </c>
      <c r="E98" s="1" t="n">
        <v>0.553703703703704</v>
      </c>
      <c r="F98" s="1" t="n">
        <v>0.532620257452575</v>
      </c>
      <c r="G98" s="1" t="n">
        <v>0.539977279667335</v>
      </c>
      <c r="H98" s="1" t="n">
        <v>0.564167738709676</v>
      </c>
      <c r="I98" s="1" t="n">
        <v>0.532620257452575</v>
      </c>
      <c r="J98" s="1" t="n">
        <v>0.0412595603610202</v>
      </c>
    </row>
    <row r="99" customFormat="false" ht="15" hidden="false" customHeight="false" outlineLevel="0" collapsed="false">
      <c r="A99" s="1" t="s">
        <v>67</v>
      </c>
      <c r="B99" s="1" t="s">
        <v>17</v>
      </c>
      <c r="C99" s="1" t="s">
        <v>13</v>
      </c>
      <c r="D99" s="1" t="s">
        <v>74</v>
      </c>
      <c r="E99" s="1" t="n">
        <v>0.55</v>
      </c>
      <c r="F99" s="1" t="n">
        <v>0.568312202702447</v>
      </c>
      <c r="G99" s="1" t="n">
        <v>0.520990932049515</v>
      </c>
      <c r="H99" s="1" t="n">
        <v>0.523364440515258</v>
      </c>
      <c r="I99" s="1" t="n">
        <v>0.568312202702447</v>
      </c>
      <c r="J99" s="1" t="n">
        <v>0.0738531813056584</v>
      </c>
    </row>
    <row r="100" customFormat="false" ht="15" hidden="false" customHeight="false" outlineLevel="0" collapsed="false">
      <c r="A100" s="1" t="s">
        <v>54</v>
      </c>
      <c r="B100" s="1" t="s">
        <v>17</v>
      </c>
      <c r="C100" s="1" t="s">
        <v>13</v>
      </c>
      <c r="D100" s="1" t="s">
        <v>74</v>
      </c>
      <c r="E100" s="1" t="n">
        <v>0.537037037037037</v>
      </c>
      <c r="F100" s="1" t="n">
        <v>0.55835021178009</v>
      </c>
      <c r="G100" s="1" t="n">
        <v>0.502692651201895</v>
      </c>
      <c r="H100" s="1" t="n">
        <v>0.501558679285238</v>
      </c>
      <c r="I100" s="1" t="n">
        <v>0.55835021178009</v>
      </c>
      <c r="J100" s="1" t="n">
        <v>0.0363185012245677</v>
      </c>
    </row>
    <row r="101" customFormat="false" ht="15" hidden="false" customHeight="false" outlineLevel="0" collapsed="false">
      <c r="A101" s="1" t="s">
        <v>61</v>
      </c>
      <c r="B101" s="1" t="s">
        <v>23</v>
      </c>
      <c r="C101" s="1" t="s">
        <v>13</v>
      </c>
      <c r="D101" s="1" t="s">
        <v>74</v>
      </c>
      <c r="E101" s="1" t="n">
        <v>0.533333333333333</v>
      </c>
      <c r="F101" s="1" t="n">
        <v>0.495256587924271</v>
      </c>
      <c r="G101" s="1" t="n">
        <v>0.501537119570092</v>
      </c>
      <c r="H101" s="1" t="n">
        <v>0.536251861931652</v>
      </c>
      <c r="I101" s="1" t="n">
        <v>0.495256587924271</v>
      </c>
      <c r="J101" s="1" t="n">
        <v>0.0291094002183099</v>
      </c>
    </row>
    <row r="102" customFormat="false" ht="15" hidden="false" customHeight="false" outlineLevel="0" collapsed="false">
      <c r="A102" s="1" t="s">
        <v>63</v>
      </c>
      <c r="B102" s="1" t="s">
        <v>23</v>
      </c>
      <c r="C102" s="1" t="s">
        <v>13</v>
      </c>
      <c r="D102" s="1" t="s">
        <v>74</v>
      </c>
      <c r="E102" s="1" t="n">
        <v>0.512962962962963</v>
      </c>
      <c r="F102" s="1" t="n">
        <v>0.528089028180492</v>
      </c>
      <c r="G102" s="1" t="n">
        <v>0.504076199680831</v>
      </c>
      <c r="H102" s="1" t="n">
        <v>0.519146182942649</v>
      </c>
      <c r="I102" s="1" t="n">
        <v>0.528089028180492</v>
      </c>
      <c r="J102" s="1" t="n">
        <v>0.0589355571811789</v>
      </c>
    </row>
    <row r="103" customFormat="false" ht="15" hidden="false" customHeight="false" outlineLevel="0" collapsed="false">
      <c r="A103" s="1" t="s">
        <v>34</v>
      </c>
      <c r="B103" s="1" t="s">
        <v>17</v>
      </c>
      <c r="C103" s="1" t="s">
        <v>13</v>
      </c>
      <c r="D103" s="1" t="s">
        <v>74</v>
      </c>
      <c r="E103" s="1" t="n">
        <v>0.498148148148148</v>
      </c>
      <c r="F103" s="1" t="n">
        <v>0.516012991073967</v>
      </c>
      <c r="G103" s="1" t="n">
        <v>0.462663596105484</v>
      </c>
      <c r="H103" s="1" t="n">
        <v>0.499030736608258</v>
      </c>
      <c r="I103" s="1" t="n">
        <v>0.516012991073967</v>
      </c>
      <c r="J103" s="1" t="n">
        <v>0.0854447592033791</v>
      </c>
    </row>
    <row r="104" customFormat="false" ht="15" hidden="false" customHeight="false" outlineLevel="0" collapsed="false">
      <c r="A104" s="1" t="s">
        <v>52</v>
      </c>
      <c r="B104" s="1" t="s">
        <v>23</v>
      </c>
      <c r="C104" s="1" t="s">
        <v>13</v>
      </c>
      <c r="D104" s="1" t="s">
        <v>74</v>
      </c>
      <c r="E104" s="1" t="n">
        <v>0.494444444444444</v>
      </c>
      <c r="F104" s="1" t="n">
        <v>0.520081419258249</v>
      </c>
      <c r="G104" s="1" t="n">
        <v>0.487941412799524</v>
      </c>
      <c r="H104" s="1" t="n">
        <v>0.49986366856775</v>
      </c>
      <c r="I104" s="1" t="n">
        <v>0.520081419258249</v>
      </c>
      <c r="J104" s="1" t="n">
        <v>0.0545472738580207</v>
      </c>
    </row>
    <row r="105" customFormat="false" ht="15" hidden="false" customHeight="false" outlineLevel="0" collapsed="false">
      <c r="A105" s="1" t="s">
        <v>29</v>
      </c>
      <c r="B105" s="1" t="s">
        <v>17</v>
      </c>
      <c r="C105" s="1" t="s">
        <v>13</v>
      </c>
      <c r="D105" s="1" t="s">
        <v>74</v>
      </c>
      <c r="E105" s="1" t="n">
        <v>0.492592592592593</v>
      </c>
      <c r="F105" s="1" t="n">
        <v>0.541853253453863</v>
      </c>
      <c r="G105" s="1" t="n">
        <v>0.486312088150682</v>
      </c>
      <c r="H105" s="1" t="n">
        <v>0.523062889740966</v>
      </c>
      <c r="I105" s="1" t="n">
        <v>0.541853253453863</v>
      </c>
      <c r="J105" s="1" t="n">
        <v>0.0937101899433435</v>
      </c>
    </row>
    <row r="106" customFormat="false" ht="15" hidden="false" customHeight="false" outlineLevel="0" collapsed="false">
      <c r="A106" s="1" t="s">
        <v>50</v>
      </c>
      <c r="B106" s="1" t="s">
        <v>23</v>
      </c>
      <c r="C106" s="1" t="s">
        <v>13</v>
      </c>
      <c r="D106" s="1" t="s">
        <v>74</v>
      </c>
      <c r="E106" s="1" t="n">
        <v>0.490740740740741</v>
      </c>
      <c r="F106" s="1" t="n">
        <v>0.511719197130783</v>
      </c>
      <c r="G106" s="1" t="n">
        <v>0.488261933622987</v>
      </c>
      <c r="H106" s="1" t="n">
        <v>0.506713438578297</v>
      </c>
      <c r="I106" s="1" t="n">
        <v>0.511719197130783</v>
      </c>
      <c r="J106" s="1" t="n">
        <v>0.0611774585444298</v>
      </c>
    </row>
    <row r="107" customFormat="false" ht="15" hidden="false" customHeight="false" outlineLevel="0" collapsed="false">
      <c r="A107" s="1" t="s">
        <v>46</v>
      </c>
      <c r="B107" s="1" t="s">
        <v>23</v>
      </c>
      <c r="C107" s="1" t="s">
        <v>13</v>
      </c>
      <c r="D107" s="1" t="s">
        <v>74</v>
      </c>
      <c r="E107" s="1" t="n">
        <v>0.490740740740741</v>
      </c>
      <c r="F107" s="1" t="n">
        <v>0.503573184945136</v>
      </c>
      <c r="G107" s="1" t="n">
        <v>0.48855811537712</v>
      </c>
      <c r="H107" s="1" t="n">
        <v>0.507462248006667</v>
      </c>
      <c r="I107" s="1" t="n">
        <v>0.503573184945136</v>
      </c>
      <c r="J107" s="1" t="n">
        <v>0.065561147277269</v>
      </c>
    </row>
    <row r="108" customFormat="false" ht="15" hidden="false" customHeight="false" outlineLevel="0" collapsed="false">
      <c r="A108" s="1" t="s">
        <v>62</v>
      </c>
      <c r="B108" s="1" t="s">
        <v>23</v>
      </c>
      <c r="C108" s="1" t="s">
        <v>13</v>
      </c>
      <c r="D108" s="1" t="s">
        <v>74</v>
      </c>
      <c r="E108" s="1" t="n">
        <v>0.490740740740741</v>
      </c>
      <c r="F108" s="1" t="n">
        <v>0.476892624651771</v>
      </c>
      <c r="G108" s="1" t="n">
        <v>0.473207429007259</v>
      </c>
      <c r="H108" s="1" t="n">
        <v>0.504738245377648</v>
      </c>
      <c r="I108" s="1" t="n">
        <v>0.476892624651771</v>
      </c>
      <c r="J108" s="1" t="n">
        <v>0.0788682585698317</v>
      </c>
    </row>
    <row r="109" customFormat="false" ht="15" hidden="false" customHeight="false" outlineLevel="0" collapsed="false">
      <c r="A109" s="1" t="s">
        <v>44</v>
      </c>
      <c r="B109" s="1" t="s">
        <v>23</v>
      </c>
      <c r="C109" s="1" t="s">
        <v>13</v>
      </c>
      <c r="D109" s="1" t="s">
        <v>74</v>
      </c>
      <c r="E109" s="1" t="n">
        <v>0.474074074074074</v>
      </c>
      <c r="F109" s="1" t="n">
        <v>0.474177314893778</v>
      </c>
      <c r="G109" s="1" t="n">
        <v>0.459351830975988</v>
      </c>
      <c r="H109" s="1" t="n">
        <v>0.469726501928431</v>
      </c>
      <c r="I109" s="1" t="n">
        <v>0.474177314893778</v>
      </c>
      <c r="J109" s="1" t="n">
        <v>0.0468294638159913</v>
      </c>
    </row>
    <row r="110" customFormat="false" ht="15" hidden="false" customHeight="false" outlineLevel="0" collapsed="false">
      <c r="A110" s="1" t="s">
        <v>45</v>
      </c>
      <c r="B110" s="1" t="s">
        <v>1</v>
      </c>
      <c r="C110" s="1" t="s">
        <v>13</v>
      </c>
      <c r="D110" s="1" t="s">
        <v>74</v>
      </c>
      <c r="E110" s="1" t="n">
        <v>0.462962962962963</v>
      </c>
      <c r="F110" s="1" t="n">
        <v>0.591927032994106</v>
      </c>
      <c r="G110" s="1" t="n">
        <v>0.493741986433368</v>
      </c>
      <c r="H110" s="1" t="n">
        <v>0.506394399044815</v>
      </c>
      <c r="I110" s="1" t="n">
        <v>0.591927032994106</v>
      </c>
      <c r="J110" s="1" t="n">
        <v>0.0771918245465781</v>
      </c>
    </row>
    <row r="111" customFormat="false" ht="15" hidden="false" customHeight="false" outlineLevel="0" collapsed="false">
      <c r="A111" s="1" t="s">
        <v>35</v>
      </c>
      <c r="B111" s="1" t="s">
        <v>26</v>
      </c>
      <c r="C111" s="1" t="s">
        <v>13</v>
      </c>
      <c r="D111" s="1" t="s">
        <v>74</v>
      </c>
      <c r="E111" s="1" t="n">
        <v>0.461111111111111</v>
      </c>
      <c r="F111" s="1" t="n">
        <v>0.467654559194193</v>
      </c>
      <c r="G111" s="1" t="n">
        <v>0.42486158397036</v>
      </c>
      <c r="H111" s="1" t="n">
        <v>0.502815033065693</v>
      </c>
      <c r="I111" s="1" t="n">
        <v>0.467654559194193</v>
      </c>
      <c r="J111" s="1" t="n">
        <v>0.134040748390205</v>
      </c>
    </row>
    <row r="112" customFormat="false" ht="15" hidden="false" customHeight="false" outlineLevel="0" collapsed="false">
      <c r="A112" s="1" t="s">
        <v>47</v>
      </c>
      <c r="B112" s="1" t="s">
        <v>23</v>
      </c>
      <c r="C112" s="1" t="s">
        <v>13</v>
      </c>
      <c r="D112" s="1" t="s">
        <v>74</v>
      </c>
      <c r="E112" s="1" t="n">
        <v>0.427777777777778</v>
      </c>
      <c r="F112" s="1" t="n">
        <v>0.535992440824758</v>
      </c>
      <c r="G112" s="1" t="n">
        <v>0.442337467914684</v>
      </c>
      <c r="H112" s="1" t="n">
        <v>0.449782486310931</v>
      </c>
      <c r="I112" s="1" t="n">
        <v>0.535992440824758</v>
      </c>
      <c r="J112" s="1" t="n">
        <v>0.0846996941488629</v>
      </c>
    </row>
    <row r="113" customFormat="false" ht="15" hidden="false" customHeight="false" outlineLevel="0" collapsed="false">
      <c r="A113" s="1" t="s">
        <v>37</v>
      </c>
      <c r="B113" s="1" t="s">
        <v>23</v>
      </c>
      <c r="C113" s="1" t="s">
        <v>13</v>
      </c>
      <c r="D113" s="1" t="s">
        <v>74</v>
      </c>
      <c r="E113" s="1" t="n">
        <v>0.42037037037037</v>
      </c>
      <c r="F113" s="1" t="n">
        <v>0.460091806905831</v>
      </c>
      <c r="G113" s="1" t="n">
        <v>0.429405079517091</v>
      </c>
      <c r="H113" s="1" t="n">
        <v>0.45651972610208</v>
      </c>
      <c r="I113" s="1" t="n">
        <v>0.460091806905831</v>
      </c>
      <c r="J113" s="1" t="n">
        <v>0.0413977624115699</v>
      </c>
    </row>
    <row r="114" customFormat="false" ht="15" hidden="false" customHeight="false" outlineLevel="0" collapsed="false">
      <c r="A114" s="1" t="s">
        <v>49</v>
      </c>
      <c r="B114" s="1" t="s">
        <v>17</v>
      </c>
      <c r="C114" s="1" t="s">
        <v>13</v>
      </c>
      <c r="D114" s="1" t="s">
        <v>74</v>
      </c>
      <c r="E114" s="1" t="n">
        <v>0.414814814814815</v>
      </c>
      <c r="F114" s="1" t="n">
        <v>0.539955511967707</v>
      </c>
      <c r="G114" s="1" t="n">
        <v>0.42847593240148</v>
      </c>
      <c r="H114" s="1" t="n">
        <v>0.440381257769683</v>
      </c>
      <c r="I114" s="1" t="n">
        <v>0.539955511967707</v>
      </c>
      <c r="J114" s="1" t="n">
        <v>0.0657107271873596</v>
      </c>
    </row>
    <row r="115" customFormat="false" ht="15" hidden="false" customHeight="false" outlineLevel="0" collapsed="false">
      <c r="A115" s="1" t="s">
        <v>41</v>
      </c>
      <c r="B115" s="1" t="s">
        <v>23</v>
      </c>
      <c r="C115" s="1" t="s">
        <v>13</v>
      </c>
      <c r="D115" s="1" t="s">
        <v>74</v>
      </c>
      <c r="E115" s="1" t="n">
        <v>0.385185185185185</v>
      </c>
      <c r="F115" s="1" t="n">
        <v>0.435075520685277</v>
      </c>
      <c r="G115" s="1" t="n">
        <v>0.382380825939601</v>
      </c>
      <c r="H115" s="1" t="n">
        <v>0.389907579390221</v>
      </c>
      <c r="I115" s="1" t="n">
        <v>0.435075520685277</v>
      </c>
      <c r="J115" s="1" t="n">
        <v>0.0585152249442333</v>
      </c>
    </row>
    <row r="116" customFormat="false" ht="15" hidden="false" customHeight="false" outlineLevel="0" collapsed="false">
      <c r="A116" s="1" t="s">
        <v>38</v>
      </c>
      <c r="B116" s="1" t="s">
        <v>26</v>
      </c>
      <c r="C116" s="1" t="s">
        <v>13</v>
      </c>
      <c r="D116" s="1" t="s">
        <v>74</v>
      </c>
      <c r="E116" s="1" t="n">
        <v>0.32962962962963</v>
      </c>
      <c r="F116" s="1" t="n">
        <v>0.466498498114352</v>
      </c>
      <c r="G116" s="1" t="n">
        <v>0.373971344486307</v>
      </c>
      <c r="H116" s="1" t="n">
        <v>0.493703221197967</v>
      </c>
      <c r="I116" s="1" t="n">
        <v>0.466498498114352</v>
      </c>
      <c r="J116" s="1" t="n">
        <v>0.0710406403944111</v>
      </c>
    </row>
    <row r="117" customFormat="false" ht="15" hidden="false" customHeight="false" outlineLevel="0" collapsed="false">
      <c r="A117" s="1" t="s">
        <v>36</v>
      </c>
      <c r="B117" s="1" t="s">
        <v>26</v>
      </c>
      <c r="C117" s="1" t="s">
        <v>13</v>
      </c>
      <c r="D117" s="1" t="s">
        <v>74</v>
      </c>
      <c r="E117" s="1" t="n">
        <v>0.324074074074074</v>
      </c>
      <c r="F117" s="1" t="n">
        <v>0.339451740671253</v>
      </c>
      <c r="G117" s="1" t="n">
        <v>0.255801944139496</v>
      </c>
      <c r="H117" s="1" t="n">
        <v>0.284509596209569</v>
      </c>
      <c r="I117" s="1" t="n">
        <v>0.339451740671253</v>
      </c>
      <c r="J117" s="1" t="n">
        <v>0.0787934730526506</v>
      </c>
    </row>
    <row r="118" customFormat="false" ht="15" hidden="false" customHeight="false" outlineLevel="0" collapsed="false">
      <c r="A118" s="1" t="s">
        <v>39</v>
      </c>
      <c r="B118" s="1" t="s">
        <v>26</v>
      </c>
      <c r="C118" s="1" t="s">
        <v>13</v>
      </c>
      <c r="D118" s="1" t="s">
        <v>74</v>
      </c>
      <c r="E118" s="1" t="n">
        <v>0.314814814814815</v>
      </c>
      <c r="F118" s="1" t="n">
        <v>0.411945640741372</v>
      </c>
      <c r="G118" s="1" t="n">
        <v>0.350502451595962</v>
      </c>
      <c r="H118" s="1" t="n">
        <v>0.547352398873002</v>
      </c>
      <c r="I118" s="1" t="n">
        <v>0.411945640741372</v>
      </c>
      <c r="J118" s="1" t="n">
        <v>0.075949002712176</v>
      </c>
    </row>
    <row r="119" customFormat="false" ht="15" hidden="false" customHeight="false" outlineLevel="0" collapsed="false">
      <c r="A119" s="1" t="s">
        <v>51</v>
      </c>
      <c r="B119" s="1" t="s">
        <v>26</v>
      </c>
      <c r="C119" s="1" t="s">
        <v>13</v>
      </c>
      <c r="D119" s="1" t="s">
        <v>74</v>
      </c>
      <c r="E119" s="1" t="n">
        <v>0.311111111111111</v>
      </c>
      <c r="F119" s="1" t="n">
        <v>0.402110729717437</v>
      </c>
      <c r="G119" s="1" t="n">
        <v>0.325335811170388</v>
      </c>
      <c r="H119" s="1" t="n">
        <v>0.403751899752377</v>
      </c>
      <c r="I119" s="1" t="n">
        <v>0.402110729717437</v>
      </c>
      <c r="J119" s="1" t="n">
        <v>0.0790882891794504</v>
      </c>
    </row>
    <row r="120" customFormat="false" ht="15" hidden="false" customHeight="false" outlineLevel="0" collapsed="false">
      <c r="A120" s="1" t="s">
        <v>58</v>
      </c>
      <c r="B120" s="1" t="s">
        <v>26</v>
      </c>
      <c r="C120" s="1" t="s">
        <v>13</v>
      </c>
      <c r="D120" s="1" t="s">
        <v>74</v>
      </c>
      <c r="E120" s="1" t="n">
        <v>0.309259259259259</v>
      </c>
      <c r="F120" s="1" t="n">
        <v>0.439054214755434</v>
      </c>
      <c r="G120" s="1" t="n">
        <v>0.353770279371193</v>
      </c>
      <c r="H120" s="1" t="n">
        <v>0.503559459633108</v>
      </c>
      <c r="I120" s="1" t="n">
        <v>0.439054214755434</v>
      </c>
      <c r="J120" s="1" t="n">
        <v>0.113574860715224</v>
      </c>
    </row>
    <row r="121" customFormat="false" ht="15" hidden="false" customHeight="false" outlineLevel="0" collapsed="false">
      <c r="A121" s="1" t="s">
        <v>43</v>
      </c>
      <c r="B121" s="1" t="s">
        <v>26</v>
      </c>
      <c r="C121" s="1" t="s">
        <v>13</v>
      </c>
      <c r="D121" s="1" t="s">
        <v>74</v>
      </c>
      <c r="E121" s="1" t="n">
        <v>0.281481481481482</v>
      </c>
      <c r="F121" s="1" t="n">
        <v>0.408688526920234</v>
      </c>
      <c r="G121" s="1" t="n">
        <v>0.331887816960177</v>
      </c>
      <c r="H121" s="1" t="n">
        <v>0.431521101060123</v>
      </c>
      <c r="I121" s="1" t="n">
        <v>0.408688526920234</v>
      </c>
      <c r="J121" s="1" t="n">
        <v>0.0528123661143366</v>
      </c>
    </row>
    <row r="122" customFormat="false" ht="15" hidden="false" customHeight="false" outlineLevel="0" collapsed="false">
      <c r="A122" s="1" t="s">
        <v>48</v>
      </c>
      <c r="B122" s="1" t="s">
        <v>26</v>
      </c>
      <c r="C122" s="1" t="s">
        <v>13</v>
      </c>
      <c r="D122" s="1" t="s">
        <v>74</v>
      </c>
      <c r="E122" s="1" t="n">
        <v>0.274074074074074</v>
      </c>
      <c r="F122" s="1" t="n">
        <v>0.387291737733811</v>
      </c>
      <c r="G122" s="1" t="n">
        <v>0.285807271784006</v>
      </c>
      <c r="H122" s="1" t="n">
        <v>0.412309243055251</v>
      </c>
      <c r="I122" s="1" t="n">
        <v>0.387291737733811</v>
      </c>
      <c r="J122" s="1" t="n">
        <v>0.122549694379057</v>
      </c>
    </row>
    <row r="123" customFormat="false" ht="15" hidden="false" customHeight="false" outlineLevel="0" collapsed="false">
      <c r="A123" s="1" t="s">
        <v>59</v>
      </c>
      <c r="B123" s="1" t="s">
        <v>26</v>
      </c>
      <c r="C123" s="1" t="s">
        <v>13</v>
      </c>
      <c r="D123" s="1" t="s">
        <v>74</v>
      </c>
      <c r="E123" s="1" t="n">
        <v>0.274074074074074</v>
      </c>
      <c r="F123" s="1" t="n">
        <v>0.370350609756098</v>
      </c>
      <c r="G123" s="1" t="n">
        <v>0.309285455532347</v>
      </c>
      <c r="H123" s="1" t="n">
        <v>0.501265963865766</v>
      </c>
      <c r="I123" s="1" t="n">
        <v>0.370350609756098</v>
      </c>
      <c r="J123" s="1" t="n">
        <v>0.0647090771872869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I4" activeCellId="0" sqref="I4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50.96"/>
    <col collapsed="false" customWidth="true" hidden="false" outlineLevel="0" max="2" min="2" style="1" width="23.14"/>
    <col collapsed="false" customWidth="true" hidden="false" outlineLevel="0" max="7" min="7" style="1" width="8.49"/>
    <col collapsed="false" customWidth="true" hidden="false" outlineLevel="0" max="10" min="10" style="0" width="11.5"/>
    <col collapsed="false" customWidth="true" hidden="false" outlineLevel="0" max="11" min="11" style="1" width="18.92"/>
    <col collapsed="false" customWidth="true" hidden="false" outlineLevel="0" max="16384" min="16382" style="1" width="11.53"/>
  </cols>
  <sheetData>
    <row r="1" customFormat="false" ht="13.8" hidden="false" customHeight="false" outlineLevel="0" collapsed="false">
      <c r="A1" s="6" t="s">
        <v>91</v>
      </c>
      <c r="B1" s="6"/>
      <c r="C1" s="6"/>
      <c r="D1" s="6"/>
      <c r="E1" s="6"/>
      <c r="F1" s="6"/>
      <c r="G1" s="6"/>
    </row>
    <row r="2" customFormat="false" ht="13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3.8" hidden="false" customHeight="false" outlineLevel="0" collapsed="false">
      <c r="A3" s="4" t="s">
        <v>77</v>
      </c>
      <c r="B3" s="4" t="s">
        <v>4</v>
      </c>
      <c r="C3" s="4" t="s">
        <v>5</v>
      </c>
      <c r="D3" s="4" t="s">
        <v>6</v>
      </c>
      <c r="E3" s="4" t="s">
        <v>78</v>
      </c>
      <c r="F3" s="4" t="s">
        <v>9</v>
      </c>
      <c r="G3" s="4" t="s">
        <v>10</v>
      </c>
    </row>
    <row r="4" customFormat="false" ht="13.8" hidden="false" customHeight="false" outlineLevel="0" collapsed="false">
      <c r="A4" s="1" t="s">
        <v>123</v>
      </c>
      <c r="B4" s="1" t="str">
        <f aca="false">IF(  OR(ISNUMBER(SEARCH("SMOTEENN",A4)),ISNUMBER(SEARCH("SMOTETomek",A4))),  "Hybrid",  IF(   AND(    OR(ISNUMBER(SEARCH("SMOTE",A4)),ISNUMBER(SEARCH("SVMSMOTE",A4)),ISNUMBER(SEARCH("RandomOverSampler",A4)),ISNUMBER(SEARCH("BorderlineSmote",A4))),    OR(ISNUMBER(SEARCH("RandomUnderSampler",A4)),ISNUMBER(SEARCH("ClusterCentroids",A4)),ISNUMBER(SEARCH("OneSidedSelection",A4)))   ),   "Over+Under",   IF(    OR(ISNUMBER(SEARCH("SMOTE",A4)),ISNUMBER(SEARCH("SVMSMOTE",A4)),ISNUMBER(SEARCH("RandomOverSampler",A4)),ISNUMBER(SEARCH("BorderlineSmote",A4))),    "Oversampling",    IF(     OR(ISNUMBER(SEARCH("RandomUnderSampler",A4)),ISNUMBER(SEARCH("ClusterCentroids",A4)),ISNUMBER(SEARCH("OneSidedSelection",A4))),     "Undersampler",     "Czysty"    )   )  ) )</f>
        <v>Oversampling</v>
      </c>
      <c r="C4" s="1" t="s">
        <v>14</v>
      </c>
      <c r="D4" s="1" t="n">
        <v>0.7167</v>
      </c>
      <c r="E4" s="1" t="n">
        <v>0.654</v>
      </c>
      <c r="F4" s="1" t="n">
        <v>0.7325</v>
      </c>
      <c r="G4" s="1" t="n">
        <v>0.6725</v>
      </c>
      <c r="I4" s="0" t="s">
        <v>91</v>
      </c>
      <c r="K4" s="0"/>
      <c r="L4" s="1"/>
      <c r="M4" s="1"/>
      <c r="N4" s="1"/>
    </row>
    <row r="5" customFormat="false" ht="13.8" hidden="false" customHeight="false" outlineLevel="0" collapsed="false">
      <c r="A5" s="1" t="s">
        <v>85</v>
      </c>
      <c r="B5" s="1" t="str">
        <f aca="false">IF(  OR(ISNUMBER(SEARCH("SMOTEENN",A5)),ISNUMBER(SEARCH("SMOTETomek",A5))),  "Hybrid",  IF(   AND(    OR(ISNUMBER(SEARCH("SMOTE",A5)),ISNUMBER(SEARCH("SVMSMOTE",A5)),ISNUMBER(SEARCH("RandomOverSampler",A5)),ISNUMBER(SEARCH("BorderlineSmote",A5))),    OR(ISNUMBER(SEARCH("RandomUnderSampler",A5)),ISNUMBER(SEARCH("ClusterCentroids",A5)),ISNUMBER(SEARCH("OneSidedSelection",A5)))   ),   "Over+Under",   IF(    OR(ISNUMBER(SEARCH("SMOTE",A5)),ISNUMBER(SEARCH("SVMSMOTE",A5)),ISNUMBER(SEARCH("RandomOverSampler",A5)),ISNUMBER(SEARCH("BorderlineSmote",A5))),    "Oversampling",    IF(     OR(ISNUMBER(SEARCH("RandomUnderSampler",A5)),ISNUMBER(SEARCH("ClusterCentroids",A5)),ISNUMBER(SEARCH("OneSidedSelection",A5))),     "Undersampler",     "Czysty"    )   )  ) )</f>
        <v>Over+Under</v>
      </c>
      <c r="C5" s="1" t="s">
        <v>14</v>
      </c>
      <c r="D5" s="1" t="n">
        <v>0.6796</v>
      </c>
      <c r="E5" s="1" t="n">
        <v>0.6385</v>
      </c>
      <c r="F5" s="1" t="n">
        <v>0.6324</v>
      </c>
      <c r="G5" s="1" t="n">
        <v>0.675</v>
      </c>
      <c r="I5" s="0" t="s">
        <v>1</v>
      </c>
      <c r="K5" s="0"/>
      <c r="L5" s="1"/>
      <c r="M5" s="1"/>
      <c r="N5" s="1"/>
    </row>
    <row r="6" customFormat="false" ht="13.8" hidden="false" customHeight="false" outlineLevel="0" collapsed="false">
      <c r="A6" s="1" t="s">
        <v>82</v>
      </c>
      <c r="B6" s="1" t="str">
        <f aca="false">IF(  OR(ISNUMBER(SEARCH("SMOTEENN",A6)),ISNUMBER(SEARCH("SMOTETomek",A6))),  "Hybrid",  IF(   AND(    OR(ISNUMBER(SEARCH("SMOTE",A6)),ISNUMBER(SEARCH("SVMSMOTE",A6)),ISNUMBER(SEARCH("RandomOverSampler",A6)),ISNUMBER(SEARCH("BorderlineSmote",A6))),    OR(ISNUMBER(SEARCH("RandomUnderSampler",A6)),ISNUMBER(SEARCH("ClusterCentroids",A6)),ISNUMBER(SEARCH("OneSidedSelection",A6)))   ),   "Over+Under",   IF(    OR(ISNUMBER(SEARCH("SMOTE",A6)),ISNUMBER(SEARCH("SVMSMOTE",A6)),ISNUMBER(SEARCH("RandomOverSampler",A6)),ISNUMBER(SEARCH("BorderlineSmote",A6))),    "Oversampling",    IF(     OR(ISNUMBER(SEARCH("RandomUnderSampler",A6)),ISNUMBER(SEARCH("ClusterCentroids",A6)),ISNUMBER(SEARCH("OneSidedSelection",A6))),     "Undersampler",     "Czysty"    )   )  ) )</f>
        <v>Over+Under</v>
      </c>
      <c r="C6" s="1" t="s">
        <v>14</v>
      </c>
      <c r="D6" s="1" t="n">
        <v>0.6537</v>
      </c>
      <c r="E6" s="1" t="n">
        <v>0.6305</v>
      </c>
      <c r="F6" s="1" t="n">
        <v>0.6252</v>
      </c>
      <c r="G6" s="1" t="n">
        <v>0.671</v>
      </c>
      <c r="I6" s="0" t="s">
        <v>14</v>
      </c>
      <c r="J6" s="0" t="n">
        <f aca="false">MAX(E4:E18)</f>
        <v>0.654</v>
      </c>
      <c r="K6" s="0" t="str">
        <f aca="false">INDEX(A4:A18,    MATCH(   J6,   E4:E18, 0)    )</f>
        <v>SMOTE</v>
      </c>
      <c r="L6" s="1"/>
      <c r="M6" s="1"/>
      <c r="N6" s="1"/>
    </row>
    <row r="7" customFormat="false" ht="13.8" hidden="false" customHeight="false" outlineLevel="0" collapsed="false">
      <c r="A7" s="1" t="s">
        <v>79</v>
      </c>
      <c r="B7" s="1" t="str">
        <f aca="false">IF(  OR(ISNUMBER(SEARCH("SMOTEENN",A7)),ISNUMBER(SEARCH("SMOTETomek",A7))),  "Hybrid",  IF(   AND(    OR(ISNUMBER(SEARCH("SMOTE",A7)),ISNUMBER(SEARCH("SVMSMOTE",A7)),ISNUMBER(SEARCH("RandomOverSampler",A7)),ISNUMBER(SEARCH("BorderlineSmote",A7))),    OR(ISNUMBER(SEARCH("RandomUnderSampler",A7)),ISNUMBER(SEARCH("ClusterCentroids",A7)),ISNUMBER(SEARCH("OneSidedSelection",A7)))   ),   "Over+Under",   IF(    OR(ISNUMBER(SEARCH("SMOTE",A7)),ISNUMBER(SEARCH("SVMSMOTE",A7)),ISNUMBER(SEARCH("RandomOverSampler",A7)),ISNUMBER(SEARCH("BorderlineSmote",A7))),    "Oversampling",    IF(     OR(ISNUMBER(SEARCH("RandomUnderSampler",A7)),ISNUMBER(SEARCH("ClusterCentroids",A7)),ISNUMBER(SEARCH("OneSidedSelection",A7))),     "Undersampler",     "Czysty"    )   )  ) )</f>
        <v>Oversampling</v>
      </c>
      <c r="C7" s="1" t="s">
        <v>14</v>
      </c>
      <c r="D7" s="1" t="n">
        <v>0.7019</v>
      </c>
      <c r="E7" s="1" t="n">
        <v>0.6252</v>
      </c>
      <c r="F7" s="1" t="n">
        <v>0.6834</v>
      </c>
      <c r="G7" s="1" t="n">
        <v>0.6386</v>
      </c>
      <c r="I7" s="0" t="s">
        <v>74</v>
      </c>
      <c r="J7" s="0" t="n">
        <f aca="false">MAX(E19:E33)</f>
        <v>0.6481</v>
      </c>
      <c r="K7" s="0" t="str">
        <f aca="false">INDEX(A19:A33,    MATCH(   J7,   E19:E33, 0)    )</f>
        <v>SMOTE</v>
      </c>
      <c r="L7" s="1"/>
      <c r="M7" s="1"/>
      <c r="N7" s="1"/>
    </row>
    <row r="8" customFormat="false" ht="13.8" hidden="false" customHeight="false" outlineLevel="0" collapsed="false">
      <c r="A8" s="1" t="s">
        <v>80</v>
      </c>
      <c r="B8" s="1" t="str">
        <f aca="false">IF(  OR(ISNUMBER(SEARCH("SMOTEENN",A8)),ISNUMBER(SEARCH("SMOTETomek",A8))),  "Hybrid",  IF(   AND(    OR(ISNUMBER(SEARCH("SMOTE",A8)),ISNUMBER(SEARCH("SVMSMOTE",A8)),ISNUMBER(SEARCH("RandomOverSampler",A8)),ISNUMBER(SEARCH("BorderlineSmote",A8))),    OR(ISNUMBER(SEARCH("RandomUnderSampler",A8)),ISNUMBER(SEARCH("ClusterCentroids",A8)),ISNUMBER(SEARCH("OneSidedSelection",A8)))   ),   "Over+Under",   IF(    OR(ISNUMBER(SEARCH("SMOTE",A8)),ISNUMBER(SEARCH("SVMSMOTE",A8)),ISNUMBER(SEARCH("RandomOverSampler",A8)),ISNUMBER(SEARCH("BorderlineSmote",A8))),    "Oversampling",    IF(     OR(ISNUMBER(SEARCH("RandomUnderSampler",A8)),ISNUMBER(SEARCH("ClusterCentroids",A8)),ISNUMBER(SEARCH("OneSidedSelection",A8))),     "Undersampler",     "Czysty"    )   )  ) )</f>
        <v>Hybrid</v>
      </c>
      <c r="C8" s="1" t="s">
        <v>14</v>
      </c>
      <c r="D8" s="1" t="n">
        <v>0.6907</v>
      </c>
      <c r="E8" s="1" t="n">
        <v>0.625</v>
      </c>
      <c r="F8" s="1" t="n">
        <v>0.6372</v>
      </c>
      <c r="G8" s="1" t="n">
        <v>0.6392</v>
      </c>
      <c r="K8" s="0"/>
      <c r="L8" s="1"/>
      <c r="M8" s="1"/>
      <c r="N8" s="1"/>
    </row>
    <row r="9" customFormat="false" ht="13.8" hidden="false" customHeight="false" outlineLevel="0" collapsed="false">
      <c r="A9" s="1" t="s">
        <v>124</v>
      </c>
      <c r="B9" s="1" t="str">
        <f aca="false">IF(  OR(ISNUMBER(SEARCH("SMOTEENN",A9)),ISNUMBER(SEARCH("SMOTETomek",A9))),  "Hybrid",  IF(   AND(    OR(ISNUMBER(SEARCH("SMOTE",A9)),ISNUMBER(SEARCH("SVMSMOTE",A9)),ISNUMBER(SEARCH("RandomOverSampler",A9)),ISNUMBER(SEARCH("BorderlineSmote",A9))),    OR(ISNUMBER(SEARCH("RandomUnderSampler",A9)),ISNUMBER(SEARCH("ClusterCentroids",A9)),ISNUMBER(SEARCH("OneSidedSelection",A9)))   ),   "Over+Under",   IF(    OR(ISNUMBER(SEARCH("SMOTE",A9)),ISNUMBER(SEARCH("SVMSMOTE",A9)),ISNUMBER(SEARCH("RandomOverSampler",A9)),ISNUMBER(SEARCH("BorderlineSmote",A9))),    "Oversampling",    IF(     OR(ISNUMBER(SEARCH("RandomUnderSampler",A9)),ISNUMBER(SEARCH("ClusterCentroids",A9)),ISNUMBER(SEARCH("OneSidedSelection",A9))),     "Undersampler",     "Czysty"    )   )  ) )</f>
        <v>Over+Under</v>
      </c>
      <c r="C9" s="1" t="s">
        <v>14</v>
      </c>
      <c r="D9" s="1" t="n">
        <v>0.6463</v>
      </c>
      <c r="E9" s="1" t="n">
        <v>0.6229</v>
      </c>
      <c r="F9" s="1" t="n">
        <v>0.6151</v>
      </c>
      <c r="G9" s="1" t="n">
        <v>0.6657</v>
      </c>
      <c r="I9" s="0" t="s">
        <v>17</v>
      </c>
      <c r="K9" s="0"/>
      <c r="L9" s="1"/>
      <c r="M9" s="1"/>
      <c r="N9" s="1"/>
    </row>
    <row r="10" customFormat="false" ht="13.8" hidden="false" customHeight="false" outlineLevel="0" collapsed="false">
      <c r="A10" s="1" t="s">
        <v>125</v>
      </c>
      <c r="B10" s="1" t="str">
        <f aca="false">IF(  OR(ISNUMBER(SEARCH("SMOTEENN",A10)),ISNUMBER(SEARCH("SMOTETomek",A10))),  "Hybrid",  IF(   AND(    OR(ISNUMBER(SEARCH("SMOTE",A10)),ISNUMBER(SEARCH("SVMSMOTE",A10)),ISNUMBER(SEARCH("RandomOverSampler",A10)),ISNUMBER(SEARCH("BorderlineSmote",A10))),    OR(ISNUMBER(SEARCH("RandomUnderSampler",A10)),ISNUMBER(SEARCH("ClusterCentroids",A10)),ISNUMBER(SEARCH("OneSidedSelection",A10)))   ),   "Over+Under",   IF(    OR(ISNUMBER(SEARCH("SMOTE",A10)),ISNUMBER(SEARCH("SVMSMOTE",A10)),ISNUMBER(SEARCH("RandomOverSampler",A10)),ISNUMBER(SEARCH("BorderlineSmote",A10))),    "Oversampling",    IF(     OR(ISNUMBER(SEARCH("RandomUnderSampler",A10)),ISNUMBER(SEARCH("ClusterCentroids",A10)),ISNUMBER(SEARCH("OneSidedSelection",A10))),     "Undersampler",     "Czysty"    )   )  ) )</f>
        <v>Over+Under</v>
      </c>
      <c r="C10" s="1" t="s">
        <v>14</v>
      </c>
      <c r="D10" s="1" t="n">
        <v>0.6352</v>
      </c>
      <c r="E10" s="1" t="n">
        <v>0.6098</v>
      </c>
      <c r="F10" s="1" t="n">
        <v>0.609</v>
      </c>
      <c r="G10" s="1" t="n">
        <v>0.6599</v>
      </c>
      <c r="I10" s="0" t="s">
        <v>14</v>
      </c>
      <c r="J10" s="0" t="n">
        <f aca="false">MAX(E36:E50)</f>
        <v>0.6246</v>
      </c>
      <c r="K10" s="0" t="str">
        <f aca="false">INDEX(A36:A65,    MATCH(   J10,   E36:E65, 0)    )</f>
        <v>HistGradientBoosting</v>
      </c>
      <c r="L10" s="1"/>
      <c r="M10" s="1"/>
      <c r="N10" s="1"/>
    </row>
    <row r="11" customFormat="false" ht="13.8" hidden="false" customHeight="false" outlineLevel="0" collapsed="false">
      <c r="A11" s="1" t="s">
        <v>86</v>
      </c>
      <c r="B11" s="1" t="str">
        <f aca="false">IF(  OR(ISNUMBER(SEARCH("SMOTEENN",A11)),ISNUMBER(SEARCH("SMOTETomek",A11))),  "Hybrid",  IF(   AND(    OR(ISNUMBER(SEARCH("SMOTE",A11)),ISNUMBER(SEARCH("SVMSMOTE",A11)),ISNUMBER(SEARCH("RandomOverSampler",A11)),ISNUMBER(SEARCH("BorderlineSmote",A11))),    OR(ISNUMBER(SEARCH("RandomUnderSampler",A11)),ISNUMBER(SEARCH("ClusterCentroids",A11)),ISNUMBER(SEARCH("OneSidedSelection",A11)))   ),   "Over+Under",   IF(    OR(ISNUMBER(SEARCH("SMOTE",A11)),ISNUMBER(SEARCH("SVMSMOTE",A11)),ISNUMBER(SEARCH("RandomOverSampler",A11)),ISNUMBER(SEARCH("BorderlineSmote",A11))),    "Oversampling",    IF(     OR(ISNUMBER(SEARCH("RandomUnderSampler",A11)),ISNUMBER(SEARCH("ClusterCentroids",A11)),ISNUMBER(SEARCH("OneSidedSelection",A11))),     "Undersampler",     "Czysty"    )   )  ) )</f>
        <v>Over+Under</v>
      </c>
      <c r="C11" s="1" t="s">
        <v>14</v>
      </c>
      <c r="D11" s="1" t="n">
        <v>0.6407</v>
      </c>
      <c r="E11" s="1" t="n">
        <v>0.6047</v>
      </c>
      <c r="F11" s="1" t="n">
        <v>0.6033</v>
      </c>
      <c r="G11" s="1" t="n">
        <v>0.6381</v>
      </c>
      <c r="I11" s="0" t="s">
        <v>74</v>
      </c>
      <c r="J11" s="0" t="n">
        <f aca="false">MAX(E51:E65)</f>
        <v>0.636</v>
      </c>
      <c r="K11" s="0" t="str">
        <f aca="false">INDEX(A36:A65,    MATCH(   J11,   E36:E65, 0)    )</f>
        <v>SMOTE</v>
      </c>
      <c r="L11" s="1"/>
      <c r="M11" s="1"/>
      <c r="N11" s="1"/>
    </row>
    <row r="12" customFormat="false" ht="13.8" hidden="false" customHeight="false" outlineLevel="0" collapsed="false">
      <c r="A12" s="1" t="s">
        <v>83</v>
      </c>
      <c r="B12" s="1" t="str">
        <f aca="false">IF(  OR(ISNUMBER(SEARCH("SMOTEENN",A12)),ISNUMBER(SEARCH("SMOTETomek",A12))),  "Hybrid",  IF(   AND(    OR(ISNUMBER(SEARCH("SMOTE",A12)),ISNUMBER(SEARCH("SVMSMOTE",A12)),ISNUMBER(SEARCH("RandomOverSampler",A12)),ISNUMBER(SEARCH("BorderlineSmote",A12))),    OR(ISNUMBER(SEARCH("RandomUnderSampler",A12)),ISNUMBER(SEARCH("ClusterCentroids",A12)),ISNUMBER(SEARCH("OneSidedSelection",A12)))   ),   "Over+Under",   IF(    OR(ISNUMBER(SEARCH("SMOTE",A12)),ISNUMBER(SEARCH("SVMSMOTE",A12)),ISNUMBER(SEARCH("RandomOverSampler",A12)),ISNUMBER(SEARCH("BorderlineSmote",A12))),    "Oversampling",    IF(     OR(ISNUMBER(SEARCH("RandomUnderSampler",A12)),ISNUMBER(SEARCH("ClusterCentroids",A12)),ISNUMBER(SEARCH("OneSidedSelection",A12))),     "Undersampler",     "Czysty"    )   )  ) )</f>
        <v>Over+Under</v>
      </c>
      <c r="C12" s="1" t="s">
        <v>14</v>
      </c>
      <c r="D12" s="1" t="n">
        <v>0.6315</v>
      </c>
      <c r="E12" s="1" t="n">
        <v>0.5989</v>
      </c>
      <c r="F12" s="1" t="n">
        <v>0.5932</v>
      </c>
      <c r="G12" s="1" t="n">
        <v>0.6299</v>
      </c>
      <c r="K12" s="0"/>
      <c r="L12" s="1"/>
      <c r="M12" s="1"/>
      <c r="N12" s="1"/>
    </row>
    <row r="13" customFormat="false" ht="13.8" hidden="false" customHeight="false" outlineLevel="0" collapsed="false">
      <c r="A13" s="1" t="s">
        <v>1</v>
      </c>
      <c r="B13" s="1" t="str">
        <f aca="false">IF(  OR(ISNUMBER(SEARCH("SMOTEENN",A13)),ISNUMBER(SEARCH("SMOTETomek",A13))),  "Hybrid",  IF(   AND(    OR(ISNUMBER(SEARCH("SMOTE",A13)),ISNUMBER(SEARCH("SVMSMOTE",A13)),ISNUMBER(SEARCH("RandomOverSampler",A13)),ISNUMBER(SEARCH("BorderlineSmote",A13))),    OR(ISNUMBER(SEARCH("RandomUnderSampler",A13)),ISNUMBER(SEARCH("ClusterCentroids",A13)),ISNUMBER(SEARCH("OneSidedSelection",A13)))   ),   "Over+Under",   IF(    OR(ISNUMBER(SEARCH("SMOTE",A13)),ISNUMBER(SEARCH("SVMSMOTE",A13)),ISNUMBER(SEARCH("RandomOverSampler",A13)),ISNUMBER(SEARCH("BorderlineSmote",A13))),    "Oversampling",    IF(     OR(ISNUMBER(SEARCH("RandomUnderSampler",A13)),ISNUMBER(SEARCH("ClusterCentroids",A13)),ISNUMBER(SEARCH("OneSidedSelection",A13))),     "Undersampler",     "Czysty"    )   )  ) )</f>
        <v>Czysty</v>
      </c>
      <c r="C13" s="1" t="s">
        <v>14</v>
      </c>
      <c r="D13" s="1" t="n">
        <v>0.6981</v>
      </c>
      <c r="E13" s="1" t="n">
        <v>0.589</v>
      </c>
      <c r="F13" s="1" t="n">
        <v>0.6346</v>
      </c>
      <c r="G13" s="1" t="n">
        <v>0.6266</v>
      </c>
      <c r="I13" s="0" t="s">
        <v>23</v>
      </c>
      <c r="K13" s="0"/>
      <c r="L13" s="1"/>
      <c r="M13" s="1"/>
      <c r="N13" s="1"/>
    </row>
    <row r="14" customFormat="false" ht="13.8" hidden="false" customHeight="false" outlineLevel="0" collapsed="false">
      <c r="A14" s="1" t="s">
        <v>81</v>
      </c>
      <c r="B14" s="1" t="str">
        <f aca="false">IF(  OR(ISNUMBER(SEARCH("SMOTEENN",A14)),ISNUMBER(SEARCH("SMOTETomek",A14))),  "Hybrid",  IF(   AND(    OR(ISNUMBER(SEARCH("SMOTE",A14)),ISNUMBER(SEARCH("SVMSMOTE",A14)),ISNUMBER(SEARCH("RandomOverSampler",A14)),ISNUMBER(SEARCH("BorderlineSmote",A14))),    OR(ISNUMBER(SEARCH("RandomUnderSampler",A14)),ISNUMBER(SEARCH("ClusterCentroids",A14)),ISNUMBER(SEARCH("OneSidedSelection",A14)))   ),   "Over+Under",   IF(    OR(ISNUMBER(SEARCH("SMOTE",A14)),ISNUMBER(SEARCH("SVMSMOTE",A14)),ISNUMBER(SEARCH("RandomOverSampler",A14)),ISNUMBER(SEARCH("BorderlineSmote",A14))),    "Oversampling",    IF(     OR(ISNUMBER(SEARCH("RandomUnderSampler",A14)),ISNUMBER(SEARCH("ClusterCentroids",A14)),ISNUMBER(SEARCH("OneSidedSelection",A14))),     "Undersampler",     "Czysty"    )   )  ) )</f>
        <v>Oversampling</v>
      </c>
      <c r="C14" s="1" t="s">
        <v>14</v>
      </c>
      <c r="D14" s="1" t="n">
        <v>0.6852</v>
      </c>
      <c r="E14" s="1" t="n">
        <v>0.5814</v>
      </c>
      <c r="F14" s="1" t="n">
        <v>0.6037</v>
      </c>
      <c r="G14" s="1" t="n">
        <v>0.6159</v>
      </c>
      <c r="I14" s="0" t="s">
        <v>14</v>
      </c>
      <c r="J14" s="1" t="n">
        <f aca="false">MAX(E68:E82)</f>
        <v>0.5536</v>
      </c>
      <c r="K14" s="1" t="str">
        <f aca="false">INDEX(A68:A82,    MATCH(   J14,   E68:E82, 0)    )</f>
        <v>RandomOverSampler</v>
      </c>
      <c r="L14" s="1"/>
      <c r="M14" s="1"/>
      <c r="N14" s="1"/>
    </row>
    <row r="15" customFormat="false" ht="13.8" hidden="false" customHeight="false" outlineLevel="0" collapsed="false">
      <c r="A15" s="1" t="s">
        <v>126</v>
      </c>
      <c r="B15" s="1" t="str">
        <f aca="false">IF(  OR(ISNUMBER(SEARCH("SMOTEENN",A15)),ISNUMBER(SEARCH("SMOTETomek",A15))),  "Hybrid",  IF(   AND(    OR(ISNUMBER(SEARCH("SMOTE",A15)),ISNUMBER(SEARCH("SVMSMOTE",A15)),ISNUMBER(SEARCH("RandomOverSampler",A15)),ISNUMBER(SEARCH("BorderlineSmote",A15))),    OR(ISNUMBER(SEARCH("RandomUnderSampler",A15)),ISNUMBER(SEARCH("ClusterCentroids",A15)),ISNUMBER(SEARCH("OneSidedSelection",A15)))   ),   "Over+Under",   IF(    OR(ISNUMBER(SEARCH("SMOTE",A15)),ISNUMBER(SEARCH("SVMSMOTE",A15)),ISNUMBER(SEARCH("RandomOverSampler",A15)),ISNUMBER(SEARCH("BorderlineSmote",A15))),    "Oversampling",    IF(     OR(ISNUMBER(SEARCH("RandomUnderSampler",A15)),ISNUMBER(SEARCH("ClusterCentroids",A15)),ISNUMBER(SEARCH("OneSidedSelection",A15))),     "Undersampler",     "Czysty"    )   )  ) )</f>
        <v>Oversampling</v>
      </c>
      <c r="C15" s="1" t="s">
        <v>14</v>
      </c>
      <c r="D15" s="1" t="n">
        <v>0.687</v>
      </c>
      <c r="E15" s="1" t="n">
        <v>0.5804</v>
      </c>
      <c r="F15" s="1" t="n">
        <v>0.6029</v>
      </c>
      <c r="G15" s="1" t="n">
        <v>0.6086</v>
      </c>
      <c r="I15" s="0" t="s">
        <v>74</v>
      </c>
      <c r="J15" s="1" t="n">
        <f aca="false">MAX(E83:E97)</f>
        <v>0.54</v>
      </c>
      <c r="K15" s="1" t="str">
        <f aca="false">INDEX(A83:A97,    MATCH(   J15,   E83:E97, 0)    )</f>
        <v>RandomOverSampler</v>
      </c>
      <c r="L15" s="1"/>
      <c r="M15" s="1"/>
      <c r="N15" s="1"/>
    </row>
    <row r="16" customFormat="false" ht="13.8" hidden="false" customHeight="false" outlineLevel="0" collapsed="false">
      <c r="A16" s="1" t="s">
        <v>84</v>
      </c>
      <c r="B16" s="1" t="str">
        <f aca="false">IF(  OR(ISNUMBER(SEARCH("SMOTEENN",A16)),ISNUMBER(SEARCH("SMOTETomek",A16))),  "Hybrid",  IF(   AND(    OR(ISNUMBER(SEARCH("SMOTE",A16)),ISNUMBER(SEARCH("SVMSMOTE",A16)),ISNUMBER(SEARCH("RandomOverSampler",A16)),ISNUMBER(SEARCH("BorderlineSmote",A16))),    OR(ISNUMBER(SEARCH("RandomUnderSampler",A16)),ISNUMBER(SEARCH("ClusterCentroids",A16)),ISNUMBER(SEARCH("OneSidedSelection",A16)))   ),   "Over+Under",   IF(    OR(ISNUMBER(SEARCH("SMOTE",A16)),ISNUMBER(SEARCH("SVMSMOTE",A16)),ISNUMBER(SEARCH("RandomOverSampler",A16)),ISNUMBER(SEARCH("BorderlineSmote",A16))),    "Oversampling",    IF(     OR(ISNUMBER(SEARCH("RandomUnderSampler",A16)),ISNUMBER(SEARCH("ClusterCentroids",A16)),ISNUMBER(SEARCH("OneSidedSelection",A16))),     "Undersampler",     "Czysty"    )   )  ) )</f>
        <v>Over+Under</v>
      </c>
      <c r="C16" s="1" t="s">
        <v>14</v>
      </c>
      <c r="D16" s="1" t="n">
        <v>0.6037</v>
      </c>
      <c r="E16" s="1" t="n">
        <v>0.5494</v>
      </c>
      <c r="F16" s="1" t="n">
        <v>0.6328</v>
      </c>
      <c r="G16" s="1" t="n">
        <v>0.594</v>
      </c>
      <c r="K16" s="0"/>
      <c r="L16" s="1"/>
      <c r="M16" s="1"/>
      <c r="N16" s="1"/>
    </row>
    <row r="17" customFormat="false" ht="13.8" hidden="false" customHeight="false" outlineLevel="0" collapsed="false">
      <c r="A17" s="1" t="s">
        <v>88</v>
      </c>
      <c r="B17" s="1" t="str">
        <f aca="false">IF(  OR(ISNUMBER(SEARCH("SMOTEENN",A17)),ISNUMBER(SEARCH("SMOTETomek",A17))),  "Hybrid",  IF(   AND(    OR(ISNUMBER(SEARCH("SMOTE",A17)),ISNUMBER(SEARCH("SVMSMOTE",A17)),ISNUMBER(SEARCH("RandomOverSampler",A17)),ISNUMBER(SEARCH("BorderlineSmote",A17))),    OR(ISNUMBER(SEARCH("RandomUnderSampler",A17)),ISNUMBER(SEARCH("ClusterCentroids",A17)),ISNUMBER(SEARCH("OneSidedSelection",A17)))   ),   "Over+Under",   IF(    OR(ISNUMBER(SEARCH("SMOTE",A17)),ISNUMBER(SEARCH("SVMSMOTE",A17)),ISNUMBER(SEARCH("RandomOverSampler",A17)),ISNUMBER(SEARCH("BorderlineSmote",A17))),    "Oversampling",    IF(     OR(ISNUMBER(SEARCH("RandomUnderSampler",A17)),ISNUMBER(SEARCH("ClusterCentroids",A17)),ISNUMBER(SEARCH("OneSidedSelection",A17))),     "Undersampler",     "Czysty"    )   )  ) )</f>
        <v>Over+Under</v>
      </c>
      <c r="C17" s="1" t="s">
        <v>14</v>
      </c>
      <c r="D17" s="1" t="n">
        <v>0.5704</v>
      </c>
      <c r="E17" s="1" t="n">
        <v>0.4993</v>
      </c>
      <c r="F17" s="1" t="n">
        <v>0.5624</v>
      </c>
      <c r="G17" s="1" t="n">
        <v>0.5333</v>
      </c>
      <c r="I17" s="0" t="s">
        <v>26</v>
      </c>
      <c r="K17" s="0"/>
      <c r="L17" s="1"/>
      <c r="M17" s="1"/>
      <c r="N17" s="1"/>
    </row>
    <row r="18" customFormat="false" ht="13.8" hidden="false" customHeight="false" outlineLevel="0" collapsed="false">
      <c r="A18" s="1" t="s">
        <v>87</v>
      </c>
      <c r="B18" s="1" t="str">
        <f aca="false">IF(  OR(ISNUMBER(SEARCH("SMOTEENN",A18)),ISNUMBER(SEARCH("SMOTETomek",A18))),  "Hybrid",  IF(   AND(    OR(ISNUMBER(SEARCH("SMOTE",A18)),ISNUMBER(SEARCH("SVMSMOTE",A18)),ISNUMBER(SEARCH("RandomOverSampler",A18)),ISNUMBER(SEARCH("BorderlineSmote",A18))),    OR(ISNUMBER(SEARCH("RandomUnderSampler",A18)),ISNUMBER(SEARCH("ClusterCentroids",A18)),ISNUMBER(SEARCH("OneSidedSelection",A18)))   ),   "Over+Under",   IF(    OR(ISNUMBER(SEARCH("SMOTE",A18)),ISNUMBER(SEARCH("SVMSMOTE",A18)),ISNUMBER(SEARCH("RandomOverSampler",A18)),ISNUMBER(SEARCH("BorderlineSmote",A18))),    "Oversampling",    IF(     OR(ISNUMBER(SEARCH("RandomUnderSampler",A18)),ISNUMBER(SEARCH("ClusterCentroids",A18)),ISNUMBER(SEARCH("OneSidedSelection",A18))),     "Undersampler",     "Czysty"    )   )  ) )</f>
        <v>Hybrid</v>
      </c>
      <c r="C18" s="1" t="s">
        <v>14</v>
      </c>
      <c r="D18" s="1" t="n">
        <v>0.4352</v>
      </c>
      <c r="E18" s="1" t="n">
        <v>0.4615</v>
      </c>
      <c r="F18" s="1" t="n">
        <v>0.4942</v>
      </c>
      <c r="G18" s="1" t="n">
        <v>0.583</v>
      </c>
      <c r="I18" s="0" t="s">
        <v>14</v>
      </c>
      <c r="J18" s="1" t="n">
        <f aca="false">MAX(E100:E114)</f>
        <v>0.5797</v>
      </c>
      <c r="K18" s="1" t="str">
        <f aca="false">INDEX(A100:A129,    MATCH(   J18,   E100:E129, 0)    )</f>
        <v>SMOTE</v>
      </c>
      <c r="L18" s="1"/>
      <c r="M18" s="1"/>
      <c r="N18" s="1"/>
    </row>
    <row r="19" customFormat="false" ht="13.8" hidden="false" customHeight="false" outlineLevel="0" collapsed="false">
      <c r="A19" s="1" t="s">
        <v>123</v>
      </c>
      <c r="B19" s="1" t="str">
        <f aca="false">IF(  OR(ISNUMBER(SEARCH("SMOTEENN",A19)),ISNUMBER(SEARCH("SMOTETomek",A19))),  "Hybrid",  IF(   AND(    OR(ISNUMBER(SEARCH("SMOTE",A19)),ISNUMBER(SEARCH("SVMSMOTE",A19)),ISNUMBER(SEARCH("RandomOverSampler",A19)),ISNUMBER(SEARCH("BorderlineSmote",A19))),    OR(ISNUMBER(SEARCH("RandomUnderSampler",A19)),ISNUMBER(SEARCH("ClusterCentroids",A19)),ISNUMBER(SEARCH("OneSidedSelection",A19)))   ),   "Over+Under",   IF(    OR(ISNUMBER(SEARCH("SMOTE",A19)),ISNUMBER(SEARCH("SVMSMOTE",A19)),ISNUMBER(SEARCH("RandomOverSampler",A19)),ISNUMBER(SEARCH("BorderlineSmote",A19))),    "Oversampling",    IF(     OR(ISNUMBER(SEARCH("RandomUnderSampler",A19)),ISNUMBER(SEARCH("ClusterCentroids",A19)),ISNUMBER(SEARCH("OneSidedSelection",A19))),     "Undersampler",     "Czysty"    )   )  ) )</f>
        <v>Oversampling</v>
      </c>
      <c r="C19" s="1" t="s">
        <v>74</v>
      </c>
      <c r="D19" s="1" t="n">
        <v>0.7019</v>
      </c>
      <c r="E19" s="1" t="n">
        <v>0.6481</v>
      </c>
      <c r="F19" s="1" t="n">
        <v>0.6745</v>
      </c>
      <c r="G19" s="1" t="n">
        <v>0.6639</v>
      </c>
      <c r="I19" s="0" t="s">
        <v>74</v>
      </c>
      <c r="J19" s="1" t="n">
        <f aca="false">MAX(E115:E129)</f>
        <v>0.5779</v>
      </c>
      <c r="K19" s="1" t="str">
        <f aca="false">INDEX(A100:A129,    MATCH(   J19,   E100:E129, 0)    )</f>
        <v>BorderlineSmote</v>
      </c>
      <c r="L19" s="1"/>
      <c r="M19" s="1"/>
      <c r="N19" s="1"/>
    </row>
    <row r="20" customFormat="false" ht="13.8" hidden="false" customHeight="false" outlineLevel="0" collapsed="false">
      <c r="A20" s="1" t="s">
        <v>124</v>
      </c>
      <c r="B20" s="1" t="str">
        <f aca="false">IF(  OR(ISNUMBER(SEARCH("SMOTEENN",A20)),ISNUMBER(SEARCH("SMOTETomek",A20))),  "Hybrid",  IF(   AND(    OR(ISNUMBER(SEARCH("SMOTE",A20)),ISNUMBER(SEARCH("SVMSMOTE",A20)),ISNUMBER(SEARCH("RandomOverSampler",A20)),ISNUMBER(SEARCH("BorderlineSmote",A20))),    OR(ISNUMBER(SEARCH("RandomUnderSampler",A20)),ISNUMBER(SEARCH("ClusterCentroids",A20)),ISNUMBER(SEARCH("OneSidedSelection",A20)))   ),   "Over+Under",   IF(    OR(ISNUMBER(SEARCH("SMOTE",A20)),ISNUMBER(SEARCH("SVMSMOTE",A20)),ISNUMBER(SEARCH("RandomOverSampler",A20)),ISNUMBER(SEARCH("BorderlineSmote",A20))),    "Oversampling",    IF(     OR(ISNUMBER(SEARCH("RandomUnderSampler",A20)),ISNUMBER(SEARCH("ClusterCentroids",A20)),ISNUMBER(SEARCH("OneSidedSelection",A20))),     "Undersampler",     "Czysty"    )   )  ) )</f>
        <v>Over+Under</v>
      </c>
      <c r="C20" s="1" t="s">
        <v>74</v>
      </c>
      <c r="D20" s="1" t="n">
        <v>0.6741</v>
      </c>
      <c r="E20" s="1" t="n">
        <v>0.6459</v>
      </c>
      <c r="F20" s="1" t="n">
        <v>0.6392</v>
      </c>
      <c r="G20" s="1" t="n">
        <v>0.6856</v>
      </c>
      <c r="I20" s="1"/>
      <c r="J20" s="1"/>
      <c r="L20" s="1"/>
      <c r="M20" s="1"/>
      <c r="N20" s="1"/>
    </row>
    <row r="21" customFormat="false" ht="13.8" hidden="false" customHeight="false" outlineLevel="0" collapsed="false">
      <c r="A21" s="1" t="s">
        <v>79</v>
      </c>
      <c r="B21" s="1" t="str">
        <f aca="false">IF(  OR(ISNUMBER(SEARCH("SMOTEENN",A21)),ISNUMBER(SEARCH("SMOTETomek",A21))),  "Hybrid",  IF(   AND(    OR(ISNUMBER(SEARCH("SMOTE",A21)),ISNUMBER(SEARCH("SVMSMOTE",A21)),ISNUMBER(SEARCH("RandomOverSampler",A21)),ISNUMBER(SEARCH("BorderlineSmote",A21))),    OR(ISNUMBER(SEARCH("RandomUnderSampler",A21)),ISNUMBER(SEARCH("ClusterCentroids",A21)),ISNUMBER(SEARCH("OneSidedSelection",A21)))   ),   "Over+Under",   IF(    OR(ISNUMBER(SEARCH("SMOTE",A21)),ISNUMBER(SEARCH("SVMSMOTE",A21)),ISNUMBER(SEARCH("RandomOverSampler",A21)),ISNUMBER(SEARCH("BorderlineSmote",A21))),    "Oversampling",    IF(     OR(ISNUMBER(SEARCH("RandomUnderSampler",A21)),ISNUMBER(SEARCH("ClusterCentroids",A21)),ISNUMBER(SEARCH("OneSidedSelection",A21))),     "Undersampler",     "Czysty"    )   )  ) )</f>
        <v>Oversampling</v>
      </c>
      <c r="C21" s="1" t="s">
        <v>74</v>
      </c>
      <c r="D21" s="1" t="n">
        <v>0.7093</v>
      </c>
      <c r="E21" s="1" t="n">
        <v>0.645</v>
      </c>
      <c r="F21" s="1" t="n">
        <v>0.7032</v>
      </c>
      <c r="G21" s="1" t="n">
        <v>0.6558</v>
      </c>
      <c r="I21" s="1"/>
      <c r="J21" s="1"/>
      <c r="L21" s="1"/>
      <c r="M21" s="1"/>
      <c r="N21" s="1"/>
    </row>
    <row r="22" customFormat="false" ht="13.8" hidden="false" customHeight="false" outlineLevel="0" collapsed="false">
      <c r="A22" s="1" t="s">
        <v>80</v>
      </c>
      <c r="B22" s="1" t="str">
        <f aca="false">IF(  OR(ISNUMBER(SEARCH("SMOTEENN",A22)),ISNUMBER(SEARCH("SMOTETomek",A22))),  "Hybrid",  IF(   AND(    OR(ISNUMBER(SEARCH("SMOTE",A22)),ISNUMBER(SEARCH("SVMSMOTE",A22)),ISNUMBER(SEARCH("RandomOverSampler",A22)),ISNUMBER(SEARCH("BorderlineSmote",A22))),    OR(ISNUMBER(SEARCH("RandomUnderSampler",A22)),ISNUMBER(SEARCH("ClusterCentroids",A22)),ISNUMBER(SEARCH("OneSidedSelection",A22)))   ),   "Over+Under",   IF(    OR(ISNUMBER(SEARCH("SMOTE",A22)),ISNUMBER(SEARCH("SVMSMOTE",A22)),ISNUMBER(SEARCH("RandomOverSampler",A22)),ISNUMBER(SEARCH("BorderlineSmote",A22))),    "Oversampling",    IF(     OR(ISNUMBER(SEARCH("RandomUnderSampler",A22)),ISNUMBER(SEARCH("ClusterCentroids",A22)),ISNUMBER(SEARCH("OneSidedSelection",A22))),     "Undersampler",     "Czysty"    )   )  ) )</f>
        <v>Hybrid</v>
      </c>
      <c r="C22" s="1" t="s">
        <v>74</v>
      </c>
      <c r="D22" s="1" t="n">
        <v>0.6963</v>
      </c>
      <c r="E22" s="1" t="n">
        <v>0.6374</v>
      </c>
      <c r="F22" s="1" t="n">
        <v>0.6543</v>
      </c>
      <c r="G22" s="1" t="n">
        <v>0.6498</v>
      </c>
      <c r="I22" s="1"/>
      <c r="J22" s="1"/>
      <c r="L22" s="1"/>
      <c r="M22" s="1"/>
      <c r="N22" s="1"/>
    </row>
    <row r="23" customFormat="false" ht="13.8" hidden="false" customHeight="false" outlineLevel="0" collapsed="false">
      <c r="A23" s="1" t="s">
        <v>126</v>
      </c>
      <c r="B23" s="1" t="str">
        <f aca="false">IF(  OR(ISNUMBER(SEARCH("SMOTEENN",A23)),ISNUMBER(SEARCH("SMOTETomek",A23))),  "Hybrid",  IF(   AND(    OR(ISNUMBER(SEARCH("SMOTE",A23)),ISNUMBER(SEARCH("SVMSMOTE",A23)),ISNUMBER(SEARCH("RandomOverSampler",A23)),ISNUMBER(SEARCH("BorderlineSmote",A23))),    OR(ISNUMBER(SEARCH("RandomUnderSampler",A23)),ISNUMBER(SEARCH("ClusterCentroids",A23)),ISNUMBER(SEARCH("OneSidedSelection",A23)))   ),   "Over+Under",   IF(    OR(ISNUMBER(SEARCH("SMOTE",A23)),ISNUMBER(SEARCH("SVMSMOTE",A23)),ISNUMBER(SEARCH("RandomOverSampler",A23)),ISNUMBER(SEARCH("BorderlineSmote",A23))),    "Oversampling",    IF(     OR(ISNUMBER(SEARCH("RandomUnderSampler",A23)),ISNUMBER(SEARCH("ClusterCentroids",A23)),ISNUMBER(SEARCH("OneSidedSelection",A23))),     "Undersampler",     "Czysty"    )   )  ) )</f>
        <v>Oversampling</v>
      </c>
      <c r="C23" s="1" t="s">
        <v>74</v>
      </c>
      <c r="D23" s="1" t="n">
        <v>0.6981</v>
      </c>
      <c r="E23" s="1" t="n">
        <v>0.6175</v>
      </c>
      <c r="F23" s="1" t="n">
        <v>0.6497</v>
      </c>
      <c r="G23" s="1" t="n">
        <v>0.6341</v>
      </c>
      <c r="I23" s="1"/>
      <c r="J23" s="1"/>
      <c r="L23" s="1"/>
      <c r="M23" s="1"/>
      <c r="N23" s="1"/>
    </row>
    <row r="24" customFormat="false" ht="13.8" hidden="false" customHeight="false" outlineLevel="0" collapsed="false">
      <c r="A24" s="1" t="s">
        <v>82</v>
      </c>
      <c r="B24" s="1" t="str">
        <f aca="false">IF(  OR(ISNUMBER(SEARCH("SMOTEENN",A24)),ISNUMBER(SEARCH("SMOTETomek",A24))),  "Hybrid",  IF(   AND(    OR(ISNUMBER(SEARCH("SMOTE",A24)),ISNUMBER(SEARCH("SVMSMOTE",A24)),ISNUMBER(SEARCH("RandomOverSampler",A24)),ISNUMBER(SEARCH("BorderlineSmote",A24))),    OR(ISNUMBER(SEARCH("RandomUnderSampler",A24)),ISNUMBER(SEARCH("ClusterCentroids",A24)),ISNUMBER(SEARCH("OneSidedSelection",A24)))   ),   "Over+Under",   IF(    OR(ISNUMBER(SEARCH("SMOTE",A24)),ISNUMBER(SEARCH("SVMSMOTE",A24)),ISNUMBER(SEARCH("RandomOverSampler",A24)),ISNUMBER(SEARCH("BorderlineSmote",A24))),    "Oversampling",    IF(     OR(ISNUMBER(SEARCH("RandomUnderSampler",A24)),ISNUMBER(SEARCH("ClusterCentroids",A24)),ISNUMBER(SEARCH("OneSidedSelection",A24))),     "Undersampler",     "Czysty"    )   )  ) )</f>
        <v>Over+Under</v>
      </c>
      <c r="C24" s="1" t="s">
        <v>74</v>
      </c>
      <c r="D24" s="1" t="n">
        <v>0.6389</v>
      </c>
      <c r="E24" s="1" t="n">
        <v>0.6109</v>
      </c>
      <c r="F24" s="1" t="n">
        <v>0.6087</v>
      </c>
      <c r="G24" s="1" t="n">
        <v>0.646</v>
      </c>
      <c r="I24" s="1"/>
      <c r="J24" s="1"/>
      <c r="L24" s="1"/>
      <c r="M24" s="1"/>
      <c r="N24" s="1"/>
    </row>
    <row r="25" customFormat="false" ht="13.8" hidden="false" customHeight="false" outlineLevel="0" collapsed="false">
      <c r="A25" s="1" t="s">
        <v>86</v>
      </c>
      <c r="B25" s="1" t="str">
        <f aca="false">IF(  OR(ISNUMBER(SEARCH("SMOTEENN",A25)),ISNUMBER(SEARCH("SMOTETomek",A25))),  "Hybrid",  IF(   AND(    OR(ISNUMBER(SEARCH("SMOTE",A25)),ISNUMBER(SEARCH("SVMSMOTE",A25)),ISNUMBER(SEARCH("RandomOverSampler",A25)),ISNUMBER(SEARCH("BorderlineSmote",A25))),    OR(ISNUMBER(SEARCH("RandomUnderSampler",A25)),ISNUMBER(SEARCH("ClusterCentroids",A25)),ISNUMBER(SEARCH("OneSidedSelection",A25)))   ),   "Over+Under",   IF(    OR(ISNUMBER(SEARCH("SMOTE",A25)),ISNUMBER(SEARCH("SVMSMOTE",A25)),ISNUMBER(SEARCH("RandomOverSampler",A25)),ISNUMBER(SEARCH("BorderlineSmote",A25))),    "Oversampling",    IF(     OR(ISNUMBER(SEARCH("RandomUnderSampler",A25)),ISNUMBER(SEARCH("ClusterCentroids",A25)),ISNUMBER(SEARCH("OneSidedSelection",A25))),     "Undersampler",     "Czysty"    )   )  ) )</f>
        <v>Over+Under</v>
      </c>
      <c r="C25" s="1" t="s">
        <v>74</v>
      </c>
      <c r="D25" s="1" t="n">
        <v>0.6389</v>
      </c>
      <c r="E25" s="1" t="n">
        <v>0.6059</v>
      </c>
      <c r="F25" s="1" t="n">
        <v>0.6098</v>
      </c>
      <c r="G25" s="1" t="n">
        <v>0.6449</v>
      </c>
      <c r="I25" s="1"/>
      <c r="J25" s="1"/>
      <c r="L25" s="1"/>
      <c r="M25" s="1"/>
      <c r="N25" s="1"/>
    </row>
    <row r="26" customFormat="false" ht="13.8" hidden="false" customHeight="false" outlineLevel="0" collapsed="false">
      <c r="A26" s="1" t="s">
        <v>83</v>
      </c>
      <c r="B26" s="1" t="str">
        <f aca="false">IF(  OR(ISNUMBER(SEARCH("SMOTEENN",A26)),ISNUMBER(SEARCH("SMOTETomek",A26))),  "Hybrid",  IF(   AND(    OR(ISNUMBER(SEARCH("SMOTE",A26)),ISNUMBER(SEARCH("SVMSMOTE",A26)),ISNUMBER(SEARCH("RandomOverSampler",A26)),ISNUMBER(SEARCH("BorderlineSmote",A26))),    OR(ISNUMBER(SEARCH("RandomUnderSampler",A26)),ISNUMBER(SEARCH("ClusterCentroids",A26)),ISNUMBER(SEARCH("OneSidedSelection",A26)))   ),   "Over+Under",   IF(    OR(ISNUMBER(SEARCH("SMOTE",A26)),ISNUMBER(SEARCH("SVMSMOTE",A26)),ISNUMBER(SEARCH("RandomOverSampler",A26)),ISNUMBER(SEARCH("BorderlineSmote",A26))),    "Oversampling",    IF(     OR(ISNUMBER(SEARCH("RandomUnderSampler",A26)),ISNUMBER(SEARCH("ClusterCentroids",A26)),ISNUMBER(SEARCH("OneSidedSelection",A26))),     "Undersampler",     "Czysty"    )   )  ) )</f>
        <v>Over+Under</v>
      </c>
      <c r="C26" s="1" t="s">
        <v>74</v>
      </c>
      <c r="D26" s="1" t="n">
        <v>0.6333</v>
      </c>
      <c r="E26" s="1" t="n">
        <v>0.6047</v>
      </c>
      <c r="F26" s="1" t="n">
        <v>0.6049</v>
      </c>
      <c r="G26" s="1" t="n">
        <v>0.6419</v>
      </c>
      <c r="I26" s="1"/>
      <c r="J26" s="1"/>
      <c r="L26" s="1"/>
      <c r="M26" s="1"/>
      <c r="N26" s="1"/>
    </row>
    <row r="27" customFormat="false" ht="13.8" hidden="false" customHeight="false" outlineLevel="0" collapsed="false">
      <c r="A27" s="1" t="s">
        <v>81</v>
      </c>
      <c r="B27" s="1" t="str">
        <f aca="false">IF(  OR(ISNUMBER(SEARCH("SMOTEENN",A27)),ISNUMBER(SEARCH("SMOTETomek",A27))),  "Hybrid",  IF(   AND(    OR(ISNUMBER(SEARCH("SMOTE",A27)),ISNUMBER(SEARCH("SVMSMOTE",A27)),ISNUMBER(SEARCH("RandomOverSampler",A27)),ISNUMBER(SEARCH("BorderlineSmote",A27))),    OR(ISNUMBER(SEARCH("RandomUnderSampler",A27)),ISNUMBER(SEARCH("ClusterCentroids",A27)),ISNUMBER(SEARCH("OneSidedSelection",A27)))   ),   "Over+Under",   IF(    OR(ISNUMBER(SEARCH("SMOTE",A27)),ISNUMBER(SEARCH("SVMSMOTE",A27)),ISNUMBER(SEARCH("RandomOverSampler",A27)),ISNUMBER(SEARCH("BorderlineSmote",A27))),    "Oversampling",    IF(     OR(ISNUMBER(SEARCH("RandomUnderSampler",A27)),ISNUMBER(SEARCH("ClusterCentroids",A27)),ISNUMBER(SEARCH("OneSidedSelection",A27))),     "Undersampler",     "Czysty"    )   )  ) )</f>
        <v>Oversampling</v>
      </c>
      <c r="C27" s="1" t="s">
        <v>74</v>
      </c>
      <c r="D27" s="1" t="n">
        <v>0.6852</v>
      </c>
      <c r="E27" s="1" t="n">
        <v>0.6037</v>
      </c>
      <c r="F27" s="1" t="n">
        <v>0.6331</v>
      </c>
      <c r="G27" s="1" t="n">
        <v>0.6325</v>
      </c>
      <c r="I27" s="1"/>
      <c r="J27" s="1"/>
      <c r="L27" s="1"/>
      <c r="M27" s="1"/>
      <c r="N27" s="1"/>
    </row>
    <row r="28" customFormat="false" ht="13.8" hidden="false" customHeight="false" outlineLevel="0" collapsed="false">
      <c r="A28" s="1" t="s">
        <v>1</v>
      </c>
      <c r="B28" s="1" t="str">
        <f aca="false">IF(  OR(ISNUMBER(SEARCH("SMOTEENN",A28)),ISNUMBER(SEARCH("SMOTETomek",A28))),  "Hybrid",  IF(   AND(    OR(ISNUMBER(SEARCH("SMOTE",A28)),ISNUMBER(SEARCH("SVMSMOTE",A28)),ISNUMBER(SEARCH("RandomOverSampler",A28)),ISNUMBER(SEARCH("BorderlineSmote",A28))),    OR(ISNUMBER(SEARCH("RandomUnderSampler",A28)),ISNUMBER(SEARCH("ClusterCentroids",A28)),ISNUMBER(SEARCH("OneSidedSelection",A28)))   ),   "Over+Under",   IF(    OR(ISNUMBER(SEARCH("SMOTE",A28)),ISNUMBER(SEARCH("SVMSMOTE",A28)),ISNUMBER(SEARCH("RandomOverSampler",A28)),ISNUMBER(SEARCH("BorderlineSmote",A28))),    "Oversampling",    IF(     OR(ISNUMBER(SEARCH("RandomUnderSampler",A28)),ISNUMBER(SEARCH("ClusterCentroids",A28)),ISNUMBER(SEARCH("OneSidedSelection",A28))),     "Undersampler",     "Czysty"    )   )  ) )</f>
        <v>Czysty</v>
      </c>
      <c r="C28" s="1" t="s">
        <v>74</v>
      </c>
      <c r="D28" s="1" t="n">
        <v>0.7019</v>
      </c>
      <c r="E28" s="1" t="n">
        <v>0.5951</v>
      </c>
      <c r="F28" s="1" t="n">
        <v>0.6126</v>
      </c>
      <c r="G28" s="1" t="n">
        <v>0.6303</v>
      </c>
      <c r="I28" s="1"/>
      <c r="J28" s="1"/>
      <c r="L28" s="1"/>
      <c r="M28" s="1"/>
      <c r="N28" s="1"/>
    </row>
    <row r="29" customFormat="false" ht="13.8" hidden="false" customHeight="false" outlineLevel="0" collapsed="false">
      <c r="A29" s="1" t="s">
        <v>85</v>
      </c>
      <c r="B29" s="1" t="str">
        <f aca="false">IF(  OR(ISNUMBER(SEARCH("SMOTEENN",A29)),ISNUMBER(SEARCH("SMOTETomek",A29))),  "Hybrid",  IF(   AND(    OR(ISNUMBER(SEARCH("SMOTE",A29)),ISNUMBER(SEARCH("SVMSMOTE",A29)),ISNUMBER(SEARCH("RandomOverSampler",A29)),ISNUMBER(SEARCH("BorderlineSmote",A29))),    OR(ISNUMBER(SEARCH("RandomUnderSampler",A29)),ISNUMBER(SEARCH("ClusterCentroids",A29)),ISNUMBER(SEARCH("OneSidedSelection",A29)))   ),   "Over+Under",   IF(    OR(ISNUMBER(SEARCH("SMOTE",A29)),ISNUMBER(SEARCH("SVMSMOTE",A29)),ISNUMBER(SEARCH("RandomOverSampler",A29)),ISNUMBER(SEARCH("BorderlineSmote",A29))),    "Oversampling",    IF(     OR(ISNUMBER(SEARCH("RandomUnderSampler",A29)),ISNUMBER(SEARCH("ClusterCentroids",A29)),ISNUMBER(SEARCH("OneSidedSelection",A29))),     "Undersampler",     "Czysty"    )   )  ) )</f>
        <v>Over+Under</v>
      </c>
      <c r="C29" s="1" t="s">
        <v>74</v>
      </c>
      <c r="D29" s="1" t="n">
        <v>0.6333</v>
      </c>
      <c r="E29" s="1" t="n">
        <v>0.5949</v>
      </c>
      <c r="F29" s="1" t="n">
        <v>0.5915</v>
      </c>
      <c r="G29" s="1" t="n">
        <v>0.6348</v>
      </c>
      <c r="I29" s="1"/>
      <c r="J29" s="1"/>
      <c r="L29" s="1"/>
      <c r="M29" s="1"/>
      <c r="N29" s="1"/>
    </row>
    <row r="30" customFormat="false" ht="13.8" hidden="false" customHeight="false" outlineLevel="0" collapsed="false">
      <c r="A30" s="1" t="s">
        <v>125</v>
      </c>
      <c r="B30" s="1" t="str">
        <f aca="false">IF(  OR(ISNUMBER(SEARCH("SMOTEENN",A30)),ISNUMBER(SEARCH("SMOTETomek",A30))),  "Hybrid",  IF(   AND(    OR(ISNUMBER(SEARCH("SMOTE",A30)),ISNUMBER(SEARCH("SVMSMOTE",A30)),ISNUMBER(SEARCH("RandomOverSampler",A30)),ISNUMBER(SEARCH("BorderlineSmote",A30))),    OR(ISNUMBER(SEARCH("RandomUnderSampler",A30)),ISNUMBER(SEARCH("ClusterCentroids",A30)),ISNUMBER(SEARCH("OneSidedSelection",A30)))   ),   "Over+Under",   IF(    OR(ISNUMBER(SEARCH("SMOTE",A30)),ISNUMBER(SEARCH("SVMSMOTE",A30)),ISNUMBER(SEARCH("RandomOverSampler",A30)),ISNUMBER(SEARCH("BorderlineSmote",A30))),    "Oversampling",    IF(     OR(ISNUMBER(SEARCH("RandomUnderSampler",A30)),ISNUMBER(SEARCH("ClusterCentroids",A30)),ISNUMBER(SEARCH("OneSidedSelection",A30))),     "Undersampler",     "Czysty"    )   )  ) )</f>
        <v>Over+Under</v>
      </c>
      <c r="C30" s="1" t="s">
        <v>74</v>
      </c>
      <c r="D30" s="1" t="n">
        <v>0.613</v>
      </c>
      <c r="E30" s="1" t="n">
        <v>0.5899</v>
      </c>
      <c r="F30" s="1" t="n">
        <v>0.6023</v>
      </c>
      <c r="G30" s="1" t="n">
        <v>0.6424</v>
      </c>
      <c r="I30" s="1"/>
      <c r="J30" s="1"/>
      <c r="L30" s="1"/>
      <c r="M30" s="1"/>
      <c r="N30" s="1"/>
    </row>
    <row r="31" customFormat="false" ht="13.8" hidden="false" customHeight="false" outlineLevel="0" collapsed="false">
      <c r="A31" s="1" t="s">
        <v>84</v>
      </c>
      <c r="B31" s="1" t="str">
        <f aca="false">IF(  OR(ISNUMBER(SEARCH("SMOTEENN",A31)),ISNUMBER(SEARCH("SMOTETomek",A31))),  "Hybrid",  IF(   AND(    OR(ISNUMBER(SEARCH("SMOTE",A31)),ISNUMBER(SEARCH("SVMSMOTE",A31)),ISNUMBER(SEARCH("RandomOverSampler",A31)),ISNUMBER(SEARCH("BorderlineSmote",A31))),    OR(ISNUMBER(SEARCH("RandomUnderSampler",A31)),ISNUMBER(SEARCH("ClusterCentroids",A31)),ISNUMBER(SEARCH("OneSidedSelection",A31)))   ),   "Over+Under",   IF(    OR(ISNUMBER(SEARCH("SMOTE",A31)),ISNUMBER(SEARCH("SVMSMOTE",A31)),ISNUMBER(SEARCH("RandomOverSampler",A31)),ISNUMBER(SEARCH("BorderlineSmote",A31))),    "Oversampling",    IF(     OR(ISNUMBER(SEARCH("RandomUnderSampler",A31)),ISNUMBER(SEARCH("ClusterCentroids",A31)),ISNUMBER(SEARCH("OneSidedSelection",A31))),     "Undersampler",     "Czysty"    )   )  ) )</f>
        <v>Over+Under</v>
      </c>
      <c r="C31" s="1" t="s">
        <v>74</v>
      </c>
      <c r="D31" s="1" t="n">
        <v>0.5833</v>
      </c>
      <c r="E31" s="1" t="n">
        <v>0.5267</v>
      </c>
      <c r="F31" s="1" t="n">
        <v>0.5558</v>
      </c>
      <c r="G31" s="1" t="n">
        <v>0.5755</v>
      </c>
      <c r="I31" s="1"/>
      <c r="J31" s="1"/>
      <c r="L31" s="1"/>
      <c r="M31" s="1"/>
      <c r="N31" s="1"/>
    </row>
    <row r="32" customFormat="false" ht="13.8" hidden="false" customHeight="false" outlineLevel="0" collapsed="false">
      <c r="A32" s="1" t="s">
        <v>87</v>
      </c>
      <c r="B32" s="1" t="str">
        <f aca="false">IF(  OR(ISNUMBER(SEARCH("SMOTEENN",A32)),ISNUMBER(SEARCH("SMOTETomek",A32))),  "Hybrid",  IF(   AND(    OR(ISNUMBER(SEARCH("SMOTE",A32)),ISNUMBER(SEARCH("SVMSMOTE",A32)),ISNUMBER(SEARCH("RandomOverSampler",A32)),ISNUMBER(SEARCH("BorderlineSmote",A32))),    OR(ISNUMBER(SEARCH("RandomUnderSampler",A32)),ISNUMBER(SEARCH("ClusterCentroids",A32)),ISNUMBER(SEARCH("OneSidedSelection",A32)))   ),   "Over+Under",   IF(    OR(ISNUMBER(SEARCH("SMOTE",A32)),ISNUMBER(SEARCH("SVMSMOTE",A32)),ISNUMBER(SEARCH("RandomOverSampler",A32)),ISNUMBER(SEARCH("BorderlineSmote",A32))),    "Oversampling",    IF(     OR(ISNUMBER(SEARCH("RandomUnderSampler",A32)),ISNUMBER(SEARCH("ClusterCentroids",A32)),ISNUMBER(SEARCH("OneSidedSelection",A32))),     "Undersampler",     "Czysty"    )   )  ) )</f>
        <v>Hybrid</v>
      </c>
      <c r="C32" s="1" t="s">
        <v>74</v>
      </c>
      <c r="D32" s="1" t="n">
        <v>0.463</v>
      </c>
      <c r="E32" s="1" t="n">
        <v>0.4937</v>
      </c>
      <c r="F32" s="1" t="n">
        <v>0.5064</v>
      </c>
      <c r="G32" s="1" t="n">
        <v>0.5919</v>
      </c>
      <c r="I32" s="1"/>
      <c r="J32" s="1"/>
      <c r="L32" s="1"/>
      <c r="M32" s="1"/>
      <c r="N32" s="1"/>
    </row>
    <row r="33" customFormat="false" ht="13.8" hidden="false" customHeight="false" outlineLevel="0" collapsed="false">
      <c r="A33" s="1" t="s">
        <v>88</v>
      </c>
      <c r="B33" s="1" t="str">
        <f aca="false">IF(  OR(ISNUMBER(SEARCH("SMOTEENN",A33)),ISNUMBER(SEARCH("SMOTETomek",A33))),  "Hybrid",  IF(   AND(    OR(ISNUMBER(SEARCH("SMOTE",A33)),ISNUMBER(SEARCH("SVMSMOTE",A33)),ISNUMBER(SEARCH("RandomOverSampler",A33)),ISNUMBER(SEARCH("BorderlineSmote",A33))),    OR(ISNUMBER(SEARCH("RandomUnderSampler",A33)),ISNUMBER(SEARCH("ClusterCentroids",A33)),ISNUMBER(SEARCH("OneSidedSelection",A33)))   ),   "Over+Under",   IF(    OR(ISNUMBER(SEARCH("SMOTE",A33)),ISNUMBER(SEARCH("SVMSMOTE",A33)),ISNUMBER(SEARCH("RandomOverSampler",A33)),ISNUMBER(SEARCH("BorderlineSmote",A33))),    "Oversampling",    IF(     OR(ISNUMBER(SEARCH("RandomUnderSampler",A33)),ISNUMBER(SEARCH("ClusterCentroids",A33)),ISNUMBER(SEARCH("OneSidedSelection",A33))),     "Undersampler",     "Czysty"    )   )  ) )</f>
        <v>Over+Under</v>
      </c>
      <c r="C33" s="1" t="s">
        <v>74</v>
      </c>
      <c r="D33" s="1" t="n">
        <v>0.5611</v>
      </c>
      <c r="E33" s="1" t="n">
        <v>0.4923</v>
      </c>
      <c r="F33" s="1" t="n">
        <v>0.5531</v>
      </c>
      <c r="G33" s="1" t="n">
        <v>0.526</v>
      </c>
      <c r="I33" s="1"/>
      <c r="J33" s="1"/>
      <c r="L33" s="1"/>
      <c r="M33" s="1"/>
      <c r="N33" s="1"/>
    </row>
    <row r="35" customFormat="false" ht="13.8" hidden="false" customHeight="false" outlineLevel="0" collapsed="false">
      <c r="A35" s="2" t="s">
        <v>17</v>
      </c>
      <c r="B35" s="2"/>
      <c r="C35" s="2"/>
      <c r="D35" s="2"/>
      <c r="E35" s="2"/>
      <c r="F35" s="2"/>
      <c r="G35" s="2"/>
    </row>
    <row r="36" customFormat="false" ht="13.8" hidden="false" customHeight="false" outlineLevel="0" collapsed="false">
      <c r="A36" s="1" t="s">
        <v>17</v>
      </c>
      <c r="B36" s="1" t="str">
        <f aca="false">IF(  OR(ISNUMBER(SEARCH("SMOTEENN",A36)),ISNUMBER(SEARCH("SMOTETomek",A36))),  "Hybrid",  IF(   AND(    OR(ISNUMBER(SEARCH("SMOTE",A36)),ISNUMBER(SEARCH("SVMSMOTE",A36)),ISNUMBER(SEARCH("RandomOverSampler",A36)),ISNUMBER(SEARCH("BorderlineSmote",A36))),    OR(ISNUMBER(SEARCH("RandomUnderSampler",A36)),ISNUMBER(SEARCH("ClusterCentroids",A36)),ISNUMBER(SEARCH("OneSidedSelection",A36)))   ),   "Over+Under",   IF(    OR(ISNUMBER(SEARCH("SMOTE",A36)),ISNUMBER(SEARCH("SVMSMOTE",A36)),ISNUMBER(SEARCH("RandomOverSampler",A36)),ISNUMBER(SEARCH("BorderlineSmote",A36))),    "Oversampling",    IF(     OR(ISNUMBER(SEARCH("RandomUnderSampler",A36)),ISNUMBER(SEARCH("ClusterCentroids",A36)),ISNUMBER(SEARCH("OneSidedSelection",A36))),     "Undersampler",     "Czysty"    )   )  ) )</f>
        <v>Czysty</v>
      </c>
      <c r="C36" s="1" t="s">
        <v>14</v>
      </c>
      <c r="D36" s="1" t="n">
        <v>0.6926</v>
      </c>
      <c r="E36" s="1" t="n">
        <v>0.6246</v>
      </c>
      <c r="F36" s="1" t="n">
        <v>0.6335</v>
      </c>
      <c r="G36" s="1" t="n">
        <v>0.6379</v>
      </c>
      <c r="I36" s="1"/>
      <c r="J36" s="1"/>
      <c r="L36" s="1"/>
      <c r="M36" s="1"/>
      <c r="N36" s="1"/>
    </row>
    <row r="37" customFormat="false" ht="13.8" hidden="false" customHeight="false" outlineLevel="0" collapsed="false">
      <c r="A37" s="1" t="s">
        <v>79</v>
      </c>
      <c r="B37" s="1" t="str">
        <f aca="false">IF(  OR(ISNUMBER(SEARCH("SMOTEENN",A37)),ISNUMBER(SEARCH("SMOTETomek",A37))),  "Hybrid",  IF(   AND(    OR(ISNUMBER(SEARCH("SMOTE",A37)),ISNUMBER(SEARCH("SVMSMOTE",A37)),ISNUMBER(SEARCH("RandomOverSampler",A37)),ISNUMBER(SEARCH("BorderlineSmote",A37))),    OR(ISNUMBER(SEARCH("RandomUnderSampler",A37)),ISNUMBER(SEARCH("ClusterCentroids",A37)),ISNUMBER(SEARCH("OneSidedSelection",A37)))   ),   "Over+Under",   IF(    OR(ISNUMBER(SEARCH("SMOTE",A37)),ISNUMBER(SEARCH("SVMSMOTE",A37)),ISNUMBER(SEARCH("RandomOverSampler",A37)),ISNUMBER(SEARCH("BorderlineSmote",A37))),    "Oversampling",    IF(     OR(ISNUMBER(SEARCH("RandomUnderSampler",A37)),ISNUMBER(SEARCH("ClusterCentroids",A37)),ISNUMBER(SEARCH("OneSidedSelection",A37))),     "Undersampler",     "Czysty"    )   )  ) )</f>
        <v>Oversampling</v>
      </c>
      <c r="C37" s="1" t="s">
        <v>14</v>
      </c>
      <c r="D37" s="1" t="n">
        <v>0.6833</v>
      </c>
      <c r="E37" s="1" t="n">
        <v>0.6044</v>
      </c>
      <c r="F37" s="1" t="n">
        <v>0.6425</v>
      </c>
      <c r="G37" s="1" t="n">
        <v>0.6005</v>
      </c>
      <c r="I37" s="1"/>
      <c r="J37" s="1"/>
      <c r="L37" s="1"/>
      <c r="M37" s="1"/>
      <c r="N37" s="1"/>
    </row>
    <row r="38" customFormat="false" ht="13.8" hidden="false" customHeight="false" outlineLevel="0" collapsed="false">
      <c r="A38" s="1" t="s">
        <v>80</v>
      </c>
      <c r="B38" s="1" t="str">
        <f aca="false">IF(  OR(ISNUMBER(SEARCH("SMOTEENN",A38)),ISNUMBER(SEARCH("SMOTETomek",A38))),  "Hybrid",  IF(   AND(    OR(ISNUMBER(SEARCH("SMOTE",A38)),ISNUMBER(SEARCH("SVMSMOTE",A38)),ISNUMBER(SEARCH("RandomOverSampler",A38)),ISNUMBER(SEARCH("BorderlineSmote",A38))),    OR(ISNUMBER(SEARCH("RandomUnderSampler",A38)),ISNUMBER(SEARCH("ClusterCentroids",A38)),ISNUMBER(SEARCH("OneSidedSelection",A38)))   ),   "Over+Under",   IF(    OR(ISNUMBER(SEARCH("SMOTE",A38)),ISNUMBER(SEARCH("SVMSMOTE",A38)),ISNUMBER(SEARCH("RandomOverSampler",A38)),ISNUMBER(SEARCH("BorderlineSmote",A38))),    "Oversampling",    IF(     OR(ISNUMBER(SEARCH("RandomUnderSampler",A38)),ISNUMBER(SEARCH("ClusterCentroids",A38)),ISNUMBER(SEARCH("OneSidedSelection",A38))),     "Undersampler",     "Czysty"    )   )  ) )</f>
        <v>Hybrid</v>
      </c>
      <c r="C38" s="1" t="s">
        <v>14</v>
      </c>
      <c r="D38" s="1" t="n">
        <v>0.6889</v>
      </c>
      <c r="E38" s="1" t="n">
        <v>0.6024</v>
      </c>
      <c r="F38" s="1" t="n">
        <v>0.6345</v>
      </c>
      <c r="G38" s="1" t="n">
        <v>0.612</v>
      </c>
      <c r="I38" s="1"/>
      <c r="J38" s="1"/>
      <c r="L38" s="1"/>
      <c r="M38" s="1"/>
      <c r="N38" s="1"/>
    </row>
    <row r="39" customFormat="false" ht="13.8" hidden="false" customHeight="false" outlineLevel="0" collapsed="false">
      <c r="A39" s="1" t="s">
        <v>123</v>
      </c>
      <c r="B39" s="1" t="str">
        <f aca="false">IF(  OR(ISNUMBER(SEARCH("SMOTEENN",A39)),ISNUMBER(SEARCH("SMOTETomek",A39))),  "Hybrid",  IF(   AND(    OR(ISNUMBER(SEARCH("SMOTE",A39)),ISNUMBER(SEARCH("SVMSMOTE",A39)),ISNUMBER(SEARCH("RandomOverSampler",A39)),ISNUMBER(SEARCH("BorderlineSmote",A39))),    OR(ISNUMBER(SEARCH("RandomUnderSampler",A39)),ISNUMBER(SEARCH("ClusterCentroids",A39)),ISNUMBER(SEARCH("OneSidedSelection",A39)))   ),   "Over+Under",   IF(    OR(ISNUMBER(SEARCH("SMOTE",A39)),ISNUMBER(SEARCH("SVMSMOTE",A39)),ISNUMBER(SEARCH("RandomOverSampler",A39)),ISNUMBER(SEARCH("BorderlineSmote",A39))),    "Oversampling",    IF(     OR(ISNUMBER(SEARCH("RandomUnderSampler",A39)),ISNUMBER(SEARCH("ClusterCentroids",A39)),ISNUMBER(SEARCH("OneSidedSelection",A39))),     "Undersampler",     "Czysty"    )   )  ) )</f>
        <v>Oversampling</v>
      </c>
      <c r="C39" s="1" t="s">
        <v>14</v>
      </c>
      <c r="D39" s="1" t="n">
        <v>0.6796</v>
      </c>
      <c r="E39" s="1" t="n">
        <v>0.5977</v>
      </c>
      <c r="F39" s="1" t="n">
        <v>0.6401</v>
      </c>
      <c r="G39" s="1" t="n">
        <v>0.6087</v>
      </c>
      <c r="I39" s="1"/>
      <c r="J39" s="1"/>
      <c r="L39" s="1"/>
      <c r="M39" s="1"/>
      <c r="N39" s="1"/>
    </row>
    <row r="40" customFormat="false" ht="13.8" hidden="false" customHeight="false" outlineLevel="0" collapsed="false">
      <c r="A40" s="1" t="s">
        <v>81</v>
      </c>
      <c r="B40" s="1" t="str">
        <f aca="false">IF(  OR(ISNUMBER(SEARCH("SMOTEENN",A40)),ISNUMBER(SEARCH("SMOTETomek",A40))),  "Hybrid",  IF(   AND(    OR(ISNUMBER(SEARCH("SMOTE",A40)),ISNUMBER(SEARCH("SVMSMOTE",A40)),ISNUMBER(SEARCH("RandomOverSampler",A40)),ISNUMBER(SEARCH("BorderlineSmote",A40))),    OR(ISNUMBER(SEARCH("RandomUnderSampler",A40)),ISNUMBER(SEARCH("ClusterCentroids",A40)),ISNUMBER(SEARCH("OneSidedSelection",A40)))   ),   "Over+Under",   IF(    OR(ISNUMBER(SEARCH("SMOTE",A40)),ISNUMBER(SEARCH("SVMSMOTE",A40)),ISNUMBER(SEARCH("RandomOverSampler",A40)),ISNUMBER(SEARCH("BorderlineSmote",A40))),    "Oversampling",    IF(     OR(ISNUMBER(SEARCH("RandomUnderSampler",A40)),ISNUMBER(SEARCH("ClusterCentroids",A40)),ISNUMBER(SEARCH("OneSidedSelection",A40))),     "Undersampler",     "Czysty"    )   )  ) )</f>
        <v>Oversampling</v>
      </c>
      <c r="C40" s="1" t="s">
        <v>14</v>
      </c>
      <c r="D40" s="1" t="n">
        <v>0.6667</v>
      </c>
      <c r="E40" s="1" t="n">
        <v>0.5873</v>
      </c>
      <c r="F40" s="1" t="n">
        <v>0.5881</v>
      </c>
      <c r="G40" s="1" t="n">
        <v>0.6102</v>
      </c>
      <c r="I40" s="1"/>
      <c r="J40" s="1"/>
      <c r="L40" s="1"/>
      <c r="M40" s="1"/>
      <c r="N40" s="1"/>
    </row>
    <row r="41" customFormat="false" ht="13.8" hidden="false" customHeight="false" outlineLevel="0" collapsed="false">
      <c r="A41" s="1" t="s">
        <v>126</v>
      </c>
      <c r="B41" s="1" t="str">
        <f aca="false">IF(  OR(ISNUMBER(SEARCH("SMOTEENN",A41)),ISNUMBER(SEARCH("SMOTETomek",A41))),  "Hybrid",  IF(   AND(    OR(ISNUMBER(SEARCH("SMOTE",A41)),ISNUMBER(SEARCH("SVMSMOTE",A41)),ISNUMBER(SEARCH("RandomOverSampler",A41)),ISNUMBER(SEARCH("BorderlineSmote",A41))),    OR(ISNUMBER(SEARCH("RandomUnderSampler",A41)),ISNUMBER(SEARCH("ClusterCentroids",A41)),ISNUMBER(SEARCH("OneSidedSelection",A41)))   ),   "Over+Under",   IF(    OR(ISNUMBER(SEARCH("SMOTE",A41)),ISNUMBER(SEARCH("SVMSMOTE",A41)),ISNUMBER(SEARCH("RandomOverSampler",A41)),ISNUMBER(SEARCH("BorderlineSmote",A41))),    "Oversampling",    IF(     OR(ISNUMBER(SEARCH("RandomUnderSampler",A41)),ISNUMBER(SEARCH("ClusterCentroids",A41)),ISNUMBER(SEARCH("OneSidedSelection",A41))),     "Undersampler",     "Czysty"    )   )  ) )</f>
        <v>Oversampling</v>
      </c>
      <c r="C41" s="1" t="s">
        <v>14</v>
      </c>
      <c r="D41" s="1" t="n">
        <v>0.6574</v>
      </c>
      <c r="E41" s="1" t="n">
        <v>0.5738</v>
      </c>
      <c r="F41" s="1" t="n">
        <v>0.5957</v>
      </c>
      <c r="G41" s="1" t="n">
        <v>0.5887</v>
      </c>
      <c r="I41" s="1"/>
      <c r="J41" s="1"/>
      <c r="L41" s="1"/>
      <c r="M41" s="1"/>
      <c r="N41" s="1"/>
    </row>
    <row r="42" customFormat="false" ht="13.8" hidden="false" customHeight="false" outlineLevel="0" collapsed="false">
      <c r="A42" s="1" t="s">
        <v>125</v>
      </c>
      <c r="B42" s="1" t="str">
        <f aca="false">IF(  OR(ISNUMBER(SEARCH("SMOTEENN",A42)),ISNUMBER(SEARCH("SMOTETomek",A42))),  "Hybrid",  IF(   AND(    OR(ISNUMBER(SEARCH("SMOTE",A42)),ISNUMBER(SEARCH("SVMSMOTE",A42)),ISNUMBER(SEARCH("RandomOverSampler",A42)),ISNUMBER(SEARCH("BorderlineSmote",A42))),    OR(ISNUMBER(SEARCH("RandomUnderSampler",A42)),ISNUMBER(SEARCH("ClusterCentroids",A42)),ISNUMBER(SEARCH("OneSidedSelection",A42)))   ),   "Over+Under",   IF(    OR(ISNUMBER(SEARCH("SMOTE",A42)),ISNUMBER(SEARCH("SVMSMOTE",A42)),ISNUMBER(SEARCH("RandomOverSampler",A42)),ISNUMBER(SEARCH("BorderlineSmote",A42))),    "Oversampling",    IF(     OR(ISNUMBER(SEARCH("RandomUnderSampler",A42)),ISNUMBER(SEARCH("ClusterCentroids",A42)),ISNUMBER(SEARCH("OneSidedSelection",A42))),     "Undersampler",     "Czysty"    )   )  ) )</f>
        <v>Over+Under</v>
      </c>
      <c r="C42" s="1" t="s">
        <v>14</v>
      </c>
      <c r="D42" s="1" t="n">
        <v>0.5759</v>
      </c>
      <c r="E42" s="1" t="n">
        <v>0.5579</v>
      </c>
      <c r="F42" s="1" t="n">
        <v>0.5581</v>
      </c>
      <c r="G42" s="1" t="n">
        <v>0.607</v>
      </c>
      <c r="I42" s="1"/>
      <c r="J42" s="1"/>
      <c r="L42" s="1"/>
      <c r="M42" s="1"/>
      <c r="N42" s="1"/>
    </row>
    <row r="43" customFormat="false" ht="13.8" hidden="false" customHeight="false" outlineLevel="0" collapsed="false">
      <c r="A43" s="1" t="s">
        <v>83</v>
      </c>
      <c r="B43" s="1" t="str">
        <f aca="false">IF(  OR(ISNUMBER(SEARCH("SMOTEENN",A43)),ISNUMBER(SEARCH("SMOTETomek",A43))),  "Hybrid",  IF(   AND(    OR(ISNUMBER(SEARCH("SMOTE",A43)),ISNUMBER(SEARCH("SVMSMOTE",A43)),ISNUMBER(SEARCH("RandomOverSampler",A43)),ISNUMBER(SEARCH("BorderlineSmote",A43))),    OR(ISNUMBER(SEARCH("RandomUnderSampler",A43)),ISNUMBER(SEARCH("ClusterCentroids",A43)),ISNUMBER(SEARCH("OneSidedSelection",A43)))   ),   "Over+Under",   IF(    OR(ISNUMBER(SEARCH("SMOTE",A43)),ISNUMBER(SEARCH("SVMSMOTE",A43)),ISNUMBER(SEARCH("RandomOverSampler",A43)),ISNUMBER(SEARCH("BorderlineSmote",A43))),    "Oversampling",    IF(     OR(ISNUMBER(SEARCH("RandomUnderSampler",A43)),ISNUMBER(SEARCH("ClusterCentroids",A43)),ISNUMBER(SEARCH("OneSidedSelection",A43))),     "Undersampler",     "Czysty"    )   )  ) )</f>
        <v>Over+Under</v>
      </c>
      <c r="C43" s="1" t="s">
        <v>14</v>
      </c>
      <c r="D43" s="1" t="n">
        <v>0.5833</v>
      </c>
      <c r="E43" s="1" t="n">
        <v>0.5555</v>
      </c>
      <c r="F43" s="1" t="n">
        <v>0.55</v>
      </c>
      <c r="G43" s="1" t="n">
        <v>0.6052</v>
      </c>
      <c r="I43" s="1"/>
      <c r="J43" s="1"/>
      <c r="L43" s="1"/>
      <c r="M43" s="1"/>
      <c r="N43" s="1"/>
    </row>
    <row r="44" customFormat="false" ht="13.8" hidden="false" customHeight="false" outlineLevel="0" collapsed="false">
      <c r="A44" s="1" t="s">
        <v>82</v>
      </c>
      <c r="B44" s="1" t="str">
        <f aca="false">IF(  OR(ISNUMBER(SEARCH("SMOTEENN",A44)),ISNUMBER(SEARCH("SMOTETomek",A44))),  "Hybrid",  IF(   AND(    OR(ISNUMBER(SEARCH("SMOTE",A44)),ISNUMBER(SEARCH("SVMSMOTE",A44)),ISNUMBER(SEARCH("RandomOverSampler",A44)),ISNUMBER(SEARCH("BorderlineSmote",A44))),    OR(ISNUMBER(SEARCH("RandomUnderSampler",A44)),ISNUMBER(SEARCH("ClusterCentroids",A44)),ISNUMBER(SEARCH("OneSidedSelection",A44)))   ),   "Over+Under",   IF(    OR(ISNUMBER(SEARCH("SMOTE",A44)),ISNUMBER(SEARCH("SVMSMOTE",A44)),ISNUMBER(SEARCH("RandomOverSampler",A44)),ISNUMBER(SEARCH("BorderlineSmote",A44))),    "Oversampling",    IF(     OR(ISNUMBER(SEARCH("RandomUnderSampler",A44)),ISNUMBER(SEARCH("ClusterCentroids",A44)),ISNUMBER(SEARCH("OneSidedSelection",A44))),     "Undersampler",     "Czysty"    )   )  ) )</f>
        <v>Over+Under</v>
      </c>
      <c r="C44" s="1" t="s">
        <v>14</v>
      </c>
      <c r="D44" s="1" t="n">
        <v>0.5667</v>
      </c>
      <c r="E44" s="1" t="n">
        <v>0.5542</v>
      </c>
      <c r="F44" s="1" t="n">
        <v>0.5614</v>
      </c>
      <c r="G44" s="1" t="n">
        <v>0.6067</v>
      </c>
      <c r="I44" s="1"/>
      <c r="J44" s="1"/>
      <c r="L44" s="1"/>
      <c r="M44" s="1"/>
      <c r="N44" s="1"/>
    </row>
    <row r="45" customFormat="false" ht="13.8" hidden="false" customHeight="false" outlineLevel="0" collapsed="false">
      <c r="A45" s="1" t="s">
        <v>86</v>
      </c>
      <c r="B45" s="1" t="str">
        <f aca="false">IF(  OR(ISNUMBER(SEARCH("SMOTEENN",A45)),ISNUMBER(SEARCH("SMOTETomek",A45))),  "Hybrid",  IF(   AND(    OR(ISNUMBER(SEARCH("SMOTE",A45)),ISNUMBER(SEARCH("SVMSMOTE",A45)),ISNUMBER(SEARCH("RandomOverSampler",A45)),ISNUMBER(SEARCH("BorderlineSmote",A45))),    OR(ISNUMBER(SEARCH("RandomUnderSampler",A45)),ISNUMBER(SEARCH("ClusterCentroids",A45)),ISNUMBER(SEARCH("OneSidedSelection",A45)))   ),   "Over+Under",   IF(    OR(ISNUMBER(SEARCH("SMOTE",A45)),ISNUMBER(SEARCH("SVMSMOTE",A45)),ISNUMBER(SEARCH("RandomOverSampler",A45)),ISNUMBER(SEARCH("BorderlineSmote",A45))),    "Oversampling",    IF(     OR(ISNUMBER(SEARCH("RandomUnderSampler",A45)),ISNUMBER(SEARCH("ClusterCentroids",A45)),ISNUMBER(SEARCH("OneSidedSelection",A45))),     "Undersampler",     "Czysty"    )   )  ) )</f>
        <v>Over+Under</v>
      </c>
      <c r="C45" s="1" t="s">
        <v>14</v>
      </c>
      <c r="D45" s="1" t="n">
        <v>0.5741</v>
      </c>
      <c r="E45" s="1" t="n">
        <v>0.5468</v>
      </c>
      <c r="F45" s="1" t="n">
        <v>0.5408</v>
      </c>
      <c r="G45" s="1" t="n">
        <v>0.5889</v>
      </c>
      <c r="I45" s="1"/>
      <c r="J45" s="1"/>
      <c r="L45" s="1"/>
      <c r="M45" s="1"/>
      <c r="N45" s="1"/>
    </row>
    <row r="46" customFormat="false" ht="13.8" hidden="false" customHeight="false" outlineLevel="0" collapsed="false">
      <c r="A46" s="1" t="s">
        <v>85</v>
      </c>
      <c r="B46" s="1" t="str">
        <f aca="false">IF(  OR(ISNUMBER(SEARCH("SMOTEENN",A46)),ISNUMBER(SEARCH("SMOTETomek",A46))),  "Hybrid",  IF(   AND(    OR(ISNUMBER(SEARCH("SMOTE",A46)),ISNUMBER(SEARCH("SVMSMOTE",A46)),ISNUMBER(SEARCH("RandomOverSampler",A46)),ISNUMBER(SEARCH("BorderlineSmote",A46))),    OR(ISNUMBER(SEARCH("RandomUnderSampler",A46)),ISNUMBER(SEARCH("ClusterCentroids",A46)),ISNUMBER(SEARCH("OneSidedSelection",A46)))   ),   "Over+Under",   IF(    OR(ISNUMBER(SEARCH("SMOTE",A46)),ISNUMBER(SEARCH("SVMSMOTE",A46)),ISNUMBER(SEARCH("RandomOverSampler",A46)),ISNUMBER(SEARCH("BorderlineSmote",A46))),    "Oversampling",    IF(     OR(ISNUMBER(SEARCH("RandomUnderSampler",A46)),ISNUMBER(SEARCH("ClusterCentroids",A46)),ISNUMBER(SEARCH("OneSidedSelection",A46))),     "Undersampler",     "Czysty"    )   )  ) )</f>
        <v>Over+Under</v>
      </c>
      <c r="C46" s="1" t="s">
        <v>14</v>
      </c>
      <c r="D46" s="1" t="n">
        <v>0.5704</v>
      </c>
      <c r="E46" s="1" t="n">
        <v>0.5394</v>
      </c>
      <c r="F46" s="1" t="n">
        <v>0.5412</v>
      </c>
      <c r="G46" s="1" t="n">
        <v>0.5843</v>
      </c>
      <c r="I46" s="1"/>
      <c r="J46" s="1"/>
      <c r="L46" s="1"/>
      <c r="M46" s="1"/>
      <c r="N46" s="1"/>
    </row>
    <row r="47" customFormat="false" ht="13.8" hidden="false" customHeight="false" outlineLevel="0" collapsed="false">
      <c r="A47" s="1" t="s">
        <v>124</v>
      </c>
      <c r="B47" s="1" t="str">
        <f aca="false">IF(  OR(ISNUMBER(SEARCH("SMOTEENN",A47)),ISNUMBER(SEARCH("SMOTETomek",A47))),  "Hybrid",  IF(   AND(    OR(ISNUMBER(SEARCH("SMOTE",A47)),ISNUMBER(SEARCH("SVMSMOTE",A47)),ISNUMBER(SEARCH("RandomOverSampler",A47)),ISNUMBER(SEARCH("BorderlineSmote",A47))),    OR(ISNUMBER(SEARCH("RandomUnderSampler",A47)),ISNUMBER(SEARCH("ClusterCentroids",A47)),ISNUMBER(SEARCH("OneSidedSelection",A47)))   ),   "Over+Under",   IF(    OR(ISNUMBER(SEARCH("SMOTE",A47)),ISNUMBER(SEARCH("SVMSMOTE",A47)),ISNUMBER(SEARCH("RandomOverSampler",A47)),ISNUMBER(SEARCH("BorderlineSmote",A47))),    "Oversampling",    IF(     OR(ISNUMBER(SEARCH("RandomUnderSampler",A47)),ISNUMBER(SEARCH("ClusterCentroids",A47)),ISNUMBER(SEARCH("OneSidedSelection",A47))),     "Undersampler",     "Czysty"    )   )  ) )</f>
        <v>Over+Under</v>
      </c>
      <c r="C47" s="1" t="s">
        <v>14</v>
      </c>
      <c r="D47" s="1" t="n">
        <v>0.5574</v>
      </c>
      <c r="E47" s="1" t="n">
        <v>0.5245</v>
      </c>
      <c r="F47" s="1" t="n">
        <v>0.5303</v>
      </c>
      <c r="G47" s="1" t="n">
        <v>0.5729</v>
      </c>
      <c r="I47" s="1"/>
      <c r="J47" s="1"/>
      <c r="L47" s="1"/>
      <c r="M47" s="1"/>
      <c r="N47" s="1"/>
    </row>
    <row r="48" customFormat="false" ht="13.8" hidden="false" customHeight="false" outlineLevel="0" collapsed="false">
      <c r="A48" s="1" t="s">
        <v>84</v>
      </c>
      <c r="B48" s="1" t="str">
        <f aca="false">IF(  OR(ISNUMBER(SEARCH("SMOTEENN",A48)),ISNUMBER(SEARCH("SMOTETomek",A48))),  "Hybrid",  IF(   AND(    OR(ISNUMBER(SEARCH("SMOTE",A48)),ISNUMBER(SEARCH("SVMSMOTE",A48)),ISNUMBER(SEARCH("RandomOverSampler",A48)),ISNUMBER(SEARCH("BorderlineSmote",A48))),    OR(ISNUMBER(SEARCH("RandomUnderSampler",A48)),ISNUMBER(SEARCH("ClusterCentroids",A48)),ISNUMBER(SEARCH("OneSidedSelection",A48)))   ),   "Over+Under",   IF(    OR(ISNUMBER(SEARCH("SMOTE",A48)),ISNUMBER(SEARCH("SVMSMOTE",A48)),ISNUMBER(SEARCH("RandomOverSampler",A48)),ISNUMBER(SEARCH("BorderlineSmote",A48))),    "Oversampling",    IF(     OR(ISNUMBER(SEARCH("RandomUnderSampler",A48)),ISNUMBER(SEARCH("ClusterCentroids",A48)),ISNUMBER(SEARCH("OneSidedSelection",A48))),     "Undersampler",     "Czysty"    )   )  ) )</f>
        <v>Over+Under</v>
      </c>
      <c r="C48" s="1" t="s">
        <v>14</v>
      </c>
      <c r="D48" s="1" t="n">
        <v>0.5352</v>
      </c>
      <c r="E48" s="1" t="n">
        <v>0.5127</v>
      </c>
      <c r="F48" s="1" t="n">
        <v>0.536</v>
      </c>
      <c r="G48" s="1" t="n">
        <v>0.5653</v>
      </c>
      <c r="I48" s="1"/>
      <c r="J48" s="1"/>
      <c r="L48" s="1"/>
      <c r="M48" s="1"/>
      <c r="N48" s="1"/>
    </row>
    <row r="49" customFormat="false" ht="13.8" hidden="false" customHeight="false" outlineLevel="0" collapsed="false">
      <c r="A49" s="1" t="s">
        <v>88</v>
      </c>
      <c r="B49" s="1" t="str">
        <f aca="false">IF(  OR(ISNUMBER(SEARCH("SMOTEENN",A49)),ISNUMBER(SEARCH("SMOTETomek",A49))),  "Hybrid",  IF(   AND(    OR(ISNUMBER(SEARCH("SMOTE",A49)),ISNUMBER(SEARCH("SVMSMOTE",A49)),ISNUMBER(SEARCH("RandomOverSampler",A49)),ISNUMBER(SEARCH("BorderlineSmote",A49))),    OR(ISNUMBER(SEARCH("RandomUnderSampler",A49)),ISNUMBER(SEARCH("ClusterCentroids",A49)),ISNUMBER(SEARCH("OneSidedSelection",A49)))   ),   "Over+Under",   IF(    OR(ISNUMBER(SEARCH("SMOTE",A49)),ISNUMBER(SEARCH("SVMSMOTE",A49)),ISNUMBER(SEARCH("RandomOverSampler",A49)),ISNUMBER(SEARCH("BorderlineSmote",A49))),    "Oversampling",    IF(     OR(ISNUMBER(SEARCH("RandomUnderSampler",A49)),ISNUMBER(SEARCH("ClusterCentroids",A49)),ISNUMBER(SEARCH("OneSidedSelection",A49))),     "Undersampler",     "Czysty"    )   )  ) )</f>
        <v>Over+Under</v>
      </c>
      <c r="C49" s="1" t="s">
        <v>14</v>
      </c>
      <c r="D49" s="1" t="n">
        <v>0.4963</v>
      </c>
      <c r="E49" s="1" t="n">
        <v>0.4596</v>
      </c>
      <c r="F49" s="1" t="n">
        <v>0.499</v>
      </c>
      <c r="G49" s="1" t="n">
        <v>0.5186</v>
      </c>
      <c r="I49" s="1"/>
      <c r="J49" s="1"/>
      <c r="L49" s="1"/>
      <c r="M49" s="1"/>
      <c r="N49" s="1"/>
    </row>
    <row r="50" customFormat="false" ht="13.8" hidden="false" customHeight="false" outlineLevel="0" collapsed="false">
      <c r="A50" s="1" t="s">
        <v>87</v>
      </c>
      <c r="B50" s="1" t="str">
        <f aca="false">IF(  OR(ISNUMBER(SEARCH("SMOTEENN",A50)),ISNUMBER(SEARCH("SMOTETomek",A50))),  "Hybrid",  IF(   AND(    OR(ISNUMBER(SEARCH("SMOTE",A50)),ISNUMBER(SEARCH("SVMSMOTE",A50)),ISNUMBER(SEARCH("RandomOverSampler",A50)),ISNUMBER(SEARCH("BorderlineSmote",A50))),    OR(ISNUMBER(SEARCH("RandomUnderSampler",A50)),ISNUMBER(SEARCH("ClusterCentroids",A50)),ISNUMBER(SEARCH("OneSidedSelection",A50)))   ),   "Over+Under",   IF(    OR(ISNUMBER(SEARCH("SMOTE",A50)),ISNUMBER(SEARCH("SVMSMOTE",A50)),ISNUMBER(SEARCH("RandomOverSampler",A50)),ISNUMBER(SEARCH("BorderlineSmote",A50))),    "Oversampling",    IF(     OR(ISNUMBER(SEARCH("RandomUnderSampler",A50)),ISNUMBER(SEARCH("ClusterCentroids",A50)),ISNUMBER(SEARCH("OneSidedSelection",A50))),     "Undersampler",     "Czysty"    )   )  ) )</f>
        <v>Hybrid</v>
      </c>
      <c r="C50" s="1" t="s">
        <v>14</v>
      </c>
      <c r="D50" s="1" t="n">
        <v>0.4407</v>
      </c>
      <c r="E50" s="1" t="n">
        <v>0.4487</v>
      </c>
      <c r="F50" s="1" t="n">
        <v>0.4559</v>
      </c>
      <c r="G50" s="1" t="n">
        <v>0.5497</v>
      </c>
      <c r="I50" s="1"/>
      <c r="J50" s="1"/>
      <c r="L50" s="1"/>
      <c r="M50" s="1"/>
      <c r="N50" s="1"/>
    </row>
    <row r="51" customFormat="false" ht="13.8" hidden="false" customHeight="false" outlineLevel="0" collapsed="false">
      <c r="A51" s="1" t="s">
        <v>123</v>
      </c>
      <c r="B51" s="1" t="str">
        <f aca="false">IF(  OR(ISNUMBER(SEARCH("SMOTEENN",A51)),ISNUMBER(SEARCH("SMOTETomek",A51))),  "Hybrid",  IF(   AND(    OR(ISNUMBER(SEARCH("SMOTE",A51)),ISNUMBER(SEARCH("SVMSMOTE",A51)),ISNUMBER(SEARCH("RandomOverSampler",A51)),ISNUMBER(SEARCH("BorderlineSmote",A51))),    OR(ISNUMBER(SEARCH("RandomUnderSampler",A51)),ISNUMBER(SEARCH("ClusterCentroids",A51)),ISNUMBER(SEARCH("OneSidedSelection",A51)))   ),   "Over+Under",   IF(    OR(ISNUMBER(SEARCH("SMOTE",A51)),ISNUMBER(SEARCH("SVMSMOTE",A51)),ISNUMBER(SEARCH("RandomOverSampler",A51)),ISNUMBER(SEARCH("BorderlineSmote",A51))),    "Oversampling",    IF(     OR(ISNUMBER(SEARCH("RandomUnderSampler",A51)),ISNUMBER(SEARCH("ClusterCentroids",A51)),ISNUMBER(SEARCH("OneSidedSelection",A51))),     "Undersampler",     "Czysty"    )   )  ) )</f>
        <v>Oversampling</v>
      </c>
      <c r="C51" s="1" t="s">
        <v>74</v>
      </c>
      <c r="D51" s="1" t="n">
        <v>0.7056</v>
      </c>
      <c r="E51" s="1" t="n">
        <v>0.636</v>
      </c>
      <c r="F51" s="1" t="n">
        <v>0.6624</v>
      </c>
      <c r="G51" s="1" t="n">
        <v>0.6406</v>
      </c>
      <c r="I51" s="1"/>
      <c r="J51" s="1"/>
      <c r="L51" s="1"/>
      <c r="M51" s="1"/>
      <c r="N51" s="1"/>
    </row>
    <row r="52" customFormat="false" ht="13.8" hidden="false" customHeight="false" outlineLevel="0" collapsed="false">
      <c r="A52" s="1" t="s">
        <v>81</v>
      </c>
      <c r="B52" s="1" t="str">
        <f aca="false">IF(  OR(ISNUMBER(SEARCH("SMOTEENN",A52)),ISNUMBER(SEARCH("SMOTETomek",A52))),  "Hybrid",  IF(   AND(    OR(ISNUMBER(SEARCH("SMOTE",A52)),ISNUMBER(SEARCH("SVMSMOTE",A52)),ISNUMBER(SEARCH("RandomOverSampler",A52)),ISNUMBER(SEARCH("BorderlineSmote",A52))),    OR(ISNUMBER(SEARCH("RandomUnderSampler",A52)),ISNUMBER(SEARCH("ClusterCentroids",A52)),ISNUMBER(SEARCH("OneSidedSelection",A52)))   ),   "Over+Under",   IF(    OR(ISNUMBER(SEARCH("SMOTE",A52)),ISNUMBER(SEARCH("SVMSMOTE",A52)),ISNUMBER(SEARCH("RandomOverSampler",A52)),ISNUMBER(SEARCH("BorderlineSmote",A52))),    "Oversampling",    IF(     OR(ISNUMBER(SEARCH("RandomUnderSampler",A52)),ISNUMBER(SEARCH("ClusterCentroids",A52)),ISNUMBER(SEARCH("OneSidedSelection",A52))),     "Undersampler",     "Czysty"    )   )  ) )</f>
        <v>Oversampling</v>
      </c>
      <c r="C52" s="1" t="s">
        <v>74</v>
      </c>
      <c r="D52" s="1" t="n">
        <v>0.7093</v>
      </c>
      <c r="E52" s="1" t="n">
        <v>0.6301</v>
      </c>
      <c r="F52" s="1" t="n">
        <v>0.6691</v>
      </c>
      <c r="G52" s="1" t="n">
        <v>0.6473</v>
      </c>
      <c r="I52" s="1"/>
      <c r="J52" s="1"/>
      <c r="L52" s="1"/>
      <c r="M52" s="1"/>
      <c r="N52" s="1"/>
    </row>
    <row r="53" customFormat="false" ht="13.8" hidden="false" customHeight="false" outlineLevel="0" collapsed="false">
      <c r="A53" s="1" t="s">
        <v>79</v>
      </c>
      <c r="B53" s="1" t="str">
        <f aca="false">IF(  OR(ISNUMBER(SEARCH("SMOTEENN",A53)),ISNUMBER(SEARCH("SMOTETomek",A53))),  "Hybrid",  IF(   AND(    OR(ISNUMBER(SEARCH("SMOTE",A53)),ISNUMBER(SEARCH("SVMSMOTE",A53)),ISNUMBER(SEARCH("RandomOverSampler",A53)),ISNUMBER(SEARCH("BorderlineSmote",A53))),    OR(ISNUMBER(SEARCH("RandomUnderSampler",A53)),ISNUMBER(SEARCH("ClusterCentroids",A53)),ISNUMBER(SEARCH("OneSidedSelection",A53)))   ),   "Over+Under",   IF(    OR(ISNUMBER(SEARCH("SMOTE",A53)),ISNUMBER(SEARCH("SVMSMOTE",A53)),ISNUMBER(SEARCH("RandomOverSampler",A53)),ISNUMBER(SEARCH("BorderlineSmote",A53))),    "Oversampling",    IF(     OR(ISNUMBER(SEARCH("RandomUnderSampler",A53)),ISNUMBER(SEARCH("ClusterCentroids",A53)),ISNUMBER(SEARCH("OneSidedSelection",A53))),     "Undersampler",     "Czysty"    )   )  ) )</f>
        <v>Oversampling</v>
      </c>
      <c r="C53" s="1" t="s">
        <v>74</v>
      </c>
      <c r="D53" s="1" t="n">
        <v>0.6889</v>
      </c>
      <c r="E53" s="1" t="n">
        <v>0.609</v>
      </c>
      <c r="F53" s="1" t="n">
        <v>0.6532</v>
      </c>
      <c r="G53" s="1" t="n">
        <v>0.6021</v>
      </c>
      <c r="I53" s="1"/>
      <c r="J53" s="1"/>
      <c r="L53" s="1"/>
      <c r="M53" s="1"/>
      <c r="N53" s="1"/>
    </row>
    <row r="54" customFormat="false" ht="13.8" hidden="false" customHeight="false" outlineLevel="0" collapsed="false">
      <c r="A54" s="1" t="s">
        <v>17</v>
      </c>
      <c r="B54" s="1" t="str">
        <f aca="false">IF(  OR(ISNUMBER(SEARCH("SMOTEENN",A54)),ISNUMBER(SEARCH("SMOTETomek",A54))),  "Hybrid",  IF(   AND(    OR(ISNUMBER(SEARCH("SMOTE",A54)),ISNUMBER(SEARCH("SVMSMOTE",A54)),ISNUMBER(SEARCH("RandomOverSampler",A54)),ISNUMBER(SEARCH("BorderlineSmote",A54))),    OR(ISNUMBER(SEARCH("RandomUnderSampler",A54)),ISNUMBER(SEARCH("ClusterCentroids",A54)),ISNUMBER(SEARCH("OneSidedSelection",A54)))   ),   "Over+Under",   IF(    OR(ISNUMBER(SEARCH("SMOTE",A54)),ISNUMBER(SEARCH("SVMSMOTE",A54)),ISNUMBER(SEARCH("RandomOverSampler",A54)),ISNUMBER(SEARCH("BorderlineSmote",A54))),    "Oversampling",    IF(     OR(ISNUMBER(SEARCH("RandomUnderSampler",A54)),ISNUMBER(SEARCH("ClusterCentroids",A54)),ISNUMBER(SEARCH("OneSidedSelection",A54))),     "Undersampler",     "Czysty"    )   )  ) )</f>
        <v>Czysty</v>
      </c>
      <c r="C54" s="1" t="s">
        <v>74</v>
      </c>
      <c r="D54" s="1" t="n">
        <v>0.6759</v>
      </c>
      <c r="E54" s="1" t="n">
        <v>0.5961</v>
      </c>
      <c r="F54" s="1" t="n">
        <v>0.6241</v>
      </c>
      <c r="G54" s="1" t="n">
        <v>0.6152</v>
      </c>
      <c r="I54" s="1"/>
      <c r="J54" s="1"/>
      <c r="L54" s="1"/>
      <c r="M54" s="1"/>
      <c r="N54" s="1"/>
    </row>
    <row r="55" customFormat="false" ht="13.8" hidden="false" customHeight="false" outlineLevel="0" collapsed="false">
      <c r="A55" s="1" t="s">
        <v>80</v>
      </c>
      <c r="B55" s="1" t="str">
        <f aca="false">IF(  OR(ISNUMBER(SEARCH("SMOTEENN",A55)),ISNUMBER(SEARCH("SMOTETomek",A55))),  "Hybrid",  IF(   AND(    OR(ISNUMBER(SEARCH("SMOTE",A55)),ISNUMBER(SEARCH("SVMSMOTE",A55)),ISNUMBER(SEARCH("RandomOverSampler",A55)),ISNUMBER(SEARCH("BorderlineSmote",A55))),    OR(ISNUMBER(SEARCH("RandomUnderSampler",A55)),ISNUMBER(SEARCH("ClusterCentroids",A55)),ISNUMBER(SEARCH("OneSidedSelection",A55)))   ),   "Over+Under",   IF(    OR(ISNUMBER(SEARCH("SMOTE",A55)),ISNUMBER(SEARCH("SVMSMOTE",A55)),ISNUMBER(SEARCH("RandomOverSampler",A55)),ISNUMBER(SEARCH("BorderlineSmote",A55))),    "Oversampling",    IF(     OR(ISNUMBER(SEARCH("RandomUnderSampler",A55)),ISNUMBER(SEARCH("ClusterCentroids",A55)),ISNUMBER(SEARCH("OneSidedSelection",A55))),     "Undersampler",     "Czysty"    )   )  ) )</f>
        <v>Hybrid</v>
      </c>
      <c r="C55" s="1" t="s">
        <v>74</v>
      </c>
      <c r="D55" s="1" t="n">
        <v>0.6815</v>
      </c>
      <c r="E55" s="1" t="n">
        <v>0.5959</v>
      </c>
      <c r="F55" s="1" t="n">
        <v>0.6257</v>
      </c>
      <c r="G55" s="1" t="n">
        <v>0.6084</v>
      </c>
      <c r="I55" s="1"/>
      <c r="J55" s="1"/>
      <c r="L55" s="1"/>
      <c r="M55" s="1"/>
      <c r="N55" s="1"/>
    </row>
    <row r="56" customFormat="false" ht="13.8" hidden="false" customHeight="false" outlineLevel="0" collapsed="false">
      <c r="A56" s="1" t="s">
        <v>126</v>
      </c>
      <c r="B56" s="1" t="str">
        <f aca="false">IF(  OR(ISNUMBER(SEARCH("SMOTEENN",A56)),ISNUMBER(SEARCH("SMOTETomek",A56))),  "Hybrid",  IF(   AND(    OR(ISNUMBER(SEARCH("SMOTE",A56)),ISNUMBER(SEARCH("SVMSMOTE",A56)),ISNUMBER(SEARCH("RandomOverSampler",A56)),ISNUMBER(SEARCH("BorderlineSmote",A56))),    OR(ISNUMBER(SEARCH("RandomUnderSampler",A56)),ISNUMBER(SEARCH("ClusterCentroids",A56)),ISNUMBER(SEARCH("OneSidedSelection",A56)))   ),   "Over+Under",   IF(    OR(ISNUMBER(SEARCH("SMOTE",A56)),ISNUMBER(SEARCH("SVMSMOTE",A56)),ISNUMBER(SEARCH("RandomOverSampler",A56)),ISNUMBER(SEARCH("BorderlineSmote",A56))),    "Oversampling",    IF(     OR(ISNUMBER(SEARCH("RandomUnderSampler",A56)),ISNUMBER(SEARCH("ClusterCentroids",A56)),ISNUMBER(SEARCH("OneSidedSelection",A56))),     "Undersampler",     "Czysty"    )   )  ) )</f>
        <v>Oversampling</v>
      </c>
      <c r="C56" s="1" t="s">
        <v>74</v>
      </c>
      <c r="D56" s="1" t="n">
        <v>0.6833</v>
      </c>
      <c r="E56" s="1" t="n">
        <v>0.5923</v>
      </c>
      <c r="F56" s="1" t="n">
        <v>0.6319</v>
      </c>
      <c r="G56" s="1" t="n">
        <v>0.6144</v>
      </c>
      <c r="I56" s="1"/>
      <c r="J56" s="1"/>
      <c r="L56" s="1"/>
      <c r="M56" s="1"/>
      <c r="N56" s="1"/>
    </row>
    <row r="57" customFormat="false" ht="13.8" hidden="false" customHeight="false" outlineLevel="0" collapsed="false">
      <c r="A57" s="1" t="s">
        <v>82</v>
      </c>
      <c r="B57" s="1" t="str">
        <f aca="false">IF(  OR(ISNUMBER(SEARCH("SMOTEENN",A57)),ISNUMBER(SEARCH("SMOTETomek",A57))),  "Hybrid",  IF(   AND(    OR(ISNUMBER(SEARCH("SMOTE",A57)),ISNUMBER(SEARCH("SVMSMOTE",A57)),ISNUMBER(SEARCH("RandomOverSampler",A57)),ISNUMBER(SEARCH("BorderlineSmote",A57))),    OR(ISNUMBER(SEARCH("RandomUnderSampler",A57)),ISNUMBER(SEARCH("ClusterCentroids",A57)),ISNUMBER(SEARCH("OneSidedSelection",A57)))   ),   "Over+Under",   IF(    OR(ISNUMBER(SEARCH("SMOTE",A57)),ISNUMBER(SEARCH("SVMSMOTE",A57)),ISNUMBER(SEARCH("RandomOverSampler",A57)),ISNUMBER(SEARCH("BorderlineSmote",A57))),    "Oversampling",    IF(     OR(ISNUMBER(SEARCH("RandomUnderSampler",A57)),ISNUMBER(SEARCH("ClusterCentroids",A57)),ISNUMBER(SEARCH("OneSidedSelection",A57))),     "Undersampler",     "Czysty"    )   )  ) )</f>
        <v>Over+Under</v>
      </c>
      <c r="C57" s="1" t="s">
        <v>74</v>
      </c>
      <c r="D57" s="1" t="n">
        <v>0.587</v>
      </c>
      <c r="E57" s="1" t="n">
        <v>0.5653</v>
      </c>
      <c r="F57" s="1" t="n">
        <v>0.564</v>
      </c>
      <c r="G57" s="1" t="n">
        <v>0.6031</v>
      </c>
      <c r="I57" s="1"/>
      <c r="J57" s="1"/>
      <c r="L57" s="1"/>
      <c r="M57" s="1"/>
      <c r="N57" s="1"/>
    </row>
    <row r="58" customFormat="false" ht="13.8" hidden="false" customHeight="false" outlineLevel="0" collapsed="false">
      <c r="A58" s="1" t="s">
        <v>83</v>
      </c>
      <c r="B58" s="1" t="str">
        <f aca="false">IF(  OR(ISNUMBER(SEARCH("SMOTEENN",A58)),ISNUMBER(SEARCH("SMOTETomek",A58))),  "Hybrid",  IF(   AND(    OR(ISNUMBER(SEARCH("SMOTE",A58)),ISNUMBER(SEARCH("SVMSMOTE",A58)),ISNUMBER(SEARCH("RandomOverSampler",A58)),ISNUMBER(SEARCH("BorderlineSmote",A58))),    OR(ISNUMBER(SEARCH("RandomUnderSampler",A58)),ISNUMBER(SEARCH("ClusterCentroids",A58)),ISNUMBER(SEARCH("OneSidedSelection",A58)))   ),   "Over+Under",   IF(    OR(ISNUMBER(SEARCH("SMOTE",A58)),ISNUMBER(SEARCH("SVMSMOTE",A58)),ISNUMBER(SEARCH("RandomOverSampler",A58)),ISNUMBER(SEARCH("BorderlineSmote",A58))),    "Oversampling",    IF(     OR(ISNUMBER(SEARCH("RandomUnderSampler",A58)),ISNUMBER(SEARCH("ClusterCentroids",A58)),ISNUMBER(SEARCH("OneSidedSelection",A58))),     "Undersampler",     "Czysty"    )   )  ) )</f>
        <v>Over+Under</v>
      </c>
      <c r="C58" s="1" t="s">
        <v>74</v>
      </c>
      <c r="D58" s="1" t="n">
        <v>0.5852</v>
      </c>
      <c r="E58" s="1" t="n">
        <v>0.561</v>
      </c>
      <c r="F58" s="1" t="n">
        <v>0.5715</v>
      </c>
      <c r="G58" s="1" t="n">
        <v>0.6079</v>
      </c>
      <c r="I58" s="1"/>
      <c r="J58" s="1"/>
      <c r="L58" s="1"/>
      <c r="M58" s="1"/>
      <c r="N58" s="1"/>
    </row>
    <row r="59" customFormat="false" ht="13.8" hidden="false" customHeight="false" outlineLevel="0" collapsed="false">
      <c r="A59" s="1" t="s">
        <v>86</v>
      </c>
      <c r="B59" s="1" t="str">
        <f aca="false">IF(  OR(ISNUMBER(SEARCH("SMOTEENN",A59)),ISNUMBER(SEARCH("SMOTETomek",A59))),  "Hybrid",  IF(   AND(    OR(ISNUMBER(SEARCH("SMOTE",A59)),ISNUMBER(SEARCH("SVMSMOTE",A59)),ISNUMBER(SEARCH("RandomOverSampler",A59)),ISNUMBER(SEARCH("BorderlineSmote",A59))),    OR(ISNUMBER(SEARCH("RandomUnderSampler",A59)),ISNUMBER(SEARCH("ClusterCentroids",A59)),ISNUMBER(SEARCH("OneSidedSelection",A59)))   ),   "Over+Under",   IF(    OR(ISNUMBER(SEARCH("SMOTE",A59)),ISNUMBER(SEARCH("SVMSMOTE",A59)),ISNUMBER(SEARCH("RandomOverSampler",A59)),ISNUMBER(SEARCH("BorderlineSmote",A59))),    "Oversampling",    IF(     OR(ISNUMBER(SEARCH("RandomUnderSampler",A59)),ISNUMBER(SEARCH("ClusterCentroids",A59)),ISNUMBER(SEARCH("OneSidedSelection",A59))),     "Undersampler",     "Czysty"    )   )  ) )</f>
        <v>Over+Under</v>
      </c>
      <c r="C59" s="1" t="s">
        <v>74</v>
      </c>
      <c r="D59" s="1" t="n">
        <v>0.563</v>
      </c>
      <c r="E59" s="1" t="n">
        <v>0.5493</v>
      </c>
      <c r="F59" s="1" t="n">
        <v>0.5499</v>
      </c>
      <c r="G59" s="1" t="n">
        <v>0.5866</v>
      </c>
      <c r="I59" s="1"/>
      <c r="J59" s="1"/>
      <c r="L59" s="1"/>
      <c r="M59" s="1"/>
      <c r="N59" s="1"/>
    </row>
    <row r="60" customFormat="false" ht="13.8" hidden="false" customHeight="false" outlineLevel="0" collapsed="false">
      <c r="A60" s="1" t="s">
        <v>124</v>
      </c>
      <c r="B60" s="1" t="str">
        <f aca="false">IF(  OR(ISNUMBER(SEARCH("SMOTEENN",A60)),ISNUMBER(SEARCH("SMOTETomek",A60))),  "Hybrid",  IF(   AND(    OR(ISNUMBER(SEARCH("SMOTE",A60)),ISNUMBER(SEARCH("SVMSMOTE",A60)),ISNUMBER(SEARCH("RandomOverSampler",A60)),ISNUMBER(SEARCH("BorderlineSmote",A60))),    OR(ISNUMBER(SEARCH("RandomUnderSampler",A60)),ISNUMBER(SEARCH("ClusterCentroids",A60)),ISNUMBER(SEARCH("OneSidedSelection",A60)))   ),   "Over+Under",   IF(    OR(ISNUMBER(SEARCH("SMOTE",A60)),ISNUMBER(SEARCH("SVMSMOTE",A60)),ISNUMBER(SEARCH("RandomOverSampler",A60)),ISNUMBER(SEARCH("BorderlineSmote",A60))),    "Oversampling",    IF(     OR(ISNUMBER(SEARCH("RandomUnderSampler",A60)),ISNUMBER(SEARCH("ClusterCentroids",A60)),ISNUMBER(SEARCH("OneSidedSelection",A60))),     "Undersampler",     "Czysty"    )   )  ) )</f>
        <v>Over+Under</v>
      </c>
      <c r="C60" s="1" t="s">
        <v>74</v>
      </c>
      <c r="D60" s="1" t="n">
        <v>0.5796</v>
      </c>
      <c r="E60" s="1" t="n">
        <v>0.5435</v>
      </c>
      <c r="F60" s="1" t="n">
        <v>0.5401</v>
      </c>
      <c r="G60" s="1" t="n">
        <v>0.5795</v>
      </c>
      <c r="I60" s="1"/>
      <c r="J60" s="1"/>
      <c r="L60" s="1"/>
      <c r="M60" s="1"/>
      <c r="N60" s="1"/>
    </row>
    <row r="61" customFormat="false" ht="13.8" hidden="false" customHeight="false" outlineLevel="0" collapsed="false">
      <c r="A61" s="1" t="s">
        <v>125</v>
      </c>
      <c r="B61" s="1" t="str">
        <f aca="false">IF(  OR(ISNUMBER(SEARCH("SMOTEENN",A61)),ISNUMBER(SEARCH("SMOTETomek",A61))),  "Hybrid",  IF(   AND(    OR(ISNUMBER(SEARCH("SMOTE",A61)),ISNUMBER(SEARCH("SVMSMOTE",A61)),ISNUMBER(SEARCH("RandomOverSampler",A61)),ISNUMBER(SEARCH("BorderlineSmote",A61))),    OR(ISNUMBER(SEARCH("RandomUnderSampler",A61)),ISNUMBER(SEARCH("ClusterCentroids",A61)),ISNUMBER(SEARCH("OneSidedSelection",A61)))   ),   "Over+Under",   IF(    OR(ISNUMBER(SEARCH("SMOTE",A61)),ISNUMBER(SEARCH("SVMSMOTE",A61)),ISNUMBER(SEARCH("RandomOverSampler",A61)),ISNUMBER(SEARCH("BorderlineSmote",A61))),    "Oversampling",    IF(     OR(ISNUMBER(SEARCH("RandomUnderSampler",A61)),ISNUMBER(SEARCH("ClusterCentroids",A61)),ISNUMBER(SEARCH("OneSidedSelection",A61))),     "Undersampler",     "Czysty"    )   )  ) )</f>
        <v>Over+Under</v>
      </c>
      <c r="C61" s="1" t="s">
        <v>74</v>
      </c>
      <c r="D61" s="1" t="n">
        <v>0.55</v>
      </c>
      <c r="E61" s="1" t="n">
        <v>0.521</v>
      </c>
      <c r="F61" s="1" t="n">
        <v>0.5234</v>
      </c>
      <c r="G61" s="1" t="n">
        <v>0.5683</v>
      </c>
      <c r="I61" s="1"/>
      <c r="J61" s="1"/>
      <c r="L61" s="1"/>
      <c r="M61" s="1"/>
      <c r="N61" s="1"/>
    </row>
    <row r="62" customFormat="false" ht="13.8" hidden="false" customHeight="false" outlineLevel="0" collapsed="false">
      <c r="A62" s="1" t="s">
        <v>85</v>
      </c>
      <c r="B62" s="1" t="str">
        <f aca="false">IF(  OR(ISNUMBER(SEARCH("SMOTEENN",A62)),ISNUMBER(SEARCH("SMOTETomek",A62))),  "Hybrid",  IF(   AND(    OR(ISNUMBER(SEARCH("SMOTE",A62)),ISNUMBER(SEARCH("SVMSMOTE",A62)),ISNUMBER(SEARCH("RandomOverSampler",A62)),ISNUMBER(SEARCH("BorderlineSmote",A62))),    OR(ISNUMBER(SEARCH("RandomUnderSampler",A62)),ISNUMBER(SEARCH("ClusterCentroids",A62)),ISNUMBER(SEARCH("OneSidedSelection",A62)))   ),   "Over+Under",   IF(    OR(ISNUMBER(SEARCH("SMOTE",A62)),ISNUMBER(SEARCH("SVMSMOTE",A62)),ISNUMBER(SEARCH("RandomOverSampler",A62)),ISNUMBER(SEARCH("BorderlineSmote",A62))),    "Oversampling",    IF(     OR(ISNUMBER(SEARCH("RandomUnderSampler",A62)),ISNUMBER(SEARCH("ClusterCentroids",A62)),ISNUMBER(SEARCH("OneSidedSelection",A62))),     "Undersampler",     "Czysty"    )   )  ) )</f>
        <v>Over+Under</v>
      </c>
      <c r="C62" s="1" t="s">
        <v>74</v>
      </c>
      <c r="D62" s="1" t="n">
        <v>0.537</v>
      </c>
      <c r="E62" s="1" t="n">
        <v>0.5027</v>
      </c>
      <c r="F62" s="1" t="n">
        <v>0.5016</v>
      </c>
      <c r="G62" s="1" t="n">
        <v>0.5584</v>
      </c>
      <c r="I62" s="1"/>
      <c r="J62" s="1"/>
      <c r="L62" s="1"/>
      <c r="M62" s="1"/>
      <c r="N62" s="1"/>
    </row>
    <row r="63" customFormat="false" ht="13.8" hidden="false" customHeight="false" outlineLevel="0" collapsed="false">
      <c r="A63" s="1" t="s">
        <v>84</v>
      </c>
      <c r="B63" s="1" t="str">
        <f aca="false">IF(  OR(ISNUMBER(SEARCH("SMOTEENN",A63)),ISNUMBER(SEARCH("SMOTETomek",A63))),  "Hybrid",  IF(   AND(    OR(ISNUMBER(SEARCH("SMOTE",A63)),ISNUMBER(SEARCH("SVMSMOTE",A63)),ISNUMBER(SEARCH("RandomOverSampler",A63)),ISNUMBER(SEARCH("BorderlineSmote",A63))),    OR(ISNUMBER(SEARCH("RandomUnderSampler",A63)),ISNUMBER(SEARCH("ClusterCentroids",A63)),ISNUMBER(SEARCH("OneSidedSelection",A63)))   ),   "Over+Under",   IF(    OR(ISNUMBER(SEARCH("SMOTE",A63)),ISNUMBER(SEARCH("SVMSMOTE",A63)),ISNUMBER(SEARCH("RandomOverSampler",A63)),ISNUMBER(SEARCH("BorderlineSmote",A63))),    "Oversampling",    IF(     OR(ISNUMBER(SEARCH("RandomUnderSampler",A63)),ISNUMBER(SEARCH("ClusterCentroids",A63)),ISNUMBER(SEARCH("OneSidedSelection",A63))),     "Undersampler",     "Czysty"    )   )  ) )</f>
        <v>Over+Under</v>
      </c>
      <c r="C63" s="1" t="s">
        <v>74</v>
      </c>
      <c r="D63" s="1" t="n">
        <v>0.4926</v>
      </c>
      <c r="E63" s="1" t="n">
        <v>0.4863</v>
      </c>
      <c r="F63" s="1" t="n">
        <v>0.5231</v>
      </c>
      <c r="G63" s="1" t="n">
        <v>0.5419</v>
      </c>
      <c r="I63" s="1"/>
      <c r="J63" s="1"/>
      <c r="L63" s="1"/>
      <c r="M63" s="1"/>
      <c r="N63" s="1"/>
    </row>
    <row r="64" customFormat="false" ht="13.8" hidden="false" customHeight="false" outlineLevel="0" collapsed="false">
      <c r="A64" s="1" t="s">
        <v>88</v>
      </c>
      <c r="B64" s="1" t="str">
        <f aca="false">IF(  OR(ISNUMBER(SEARCH("SMOTEENN",A64)),ISNUMBER(SEARCH("SMOTETomek",A64))),  "Hybrid",  IF(   AND(    OR(ISNUMBER(SEARCH("SMOTE",A64)),ISNUMBER(SEARCH("SVMSMOTE",A64)),ISNUMBER(SEARCH("RandomOverSampler",A64)),ISNUMBER(SEARCH("BorderlineSmote",A64))),    OR(ISNUMBER(SEARCH("RandomUnderSampler",A64)),ISNUMBER(SEARCH("ClusterCentroids",A64)),ISNUMBER(SEARCH("OneSidedSelection",A64)))   ),   "Over+Under",   IF(    OR(ISNUMBER(SEARCH("SMOTE",A64)),ISNUMBER(SEARCH("SVMSMOTE",A64)),ISNUMBER(SEARCH("RandomOverSampler",A64)),ISNUMBER(SEARCH("BorderlineSmote",A64))),    "Oversampling",    IF(     OR(ISNUMBER(SEARCH("RandomUnderSampler",A64)),ISNUMBER(SEARCH("ClusterCentroids",A64)),ISNUMBER(SEARCH("OneSidedSelection",A64))),     "Undersampler",     "Czysty"    )   )  ) )</f>
        <v>Over+Under</v>
      </c>
      <c r="C64" s="1" t="s">
        <v>74</v>
      </c>
      <c r="D64" s="1" t="n">
        <v>0.4981</v>
      </c>
      <c r="E64" s="1" t="n">
        <v>0.4627</v>
      </c>
      <c r="F64" s="1" t="n">
        <v>0.499</v>
      </c>
      <c r="G64" s="1" t="n">
        <v>0.516</v>
      </c>
      <c r="I64" s="1"/>
      <c r="J64" s="1"/>
      <c r="L64" s="1"/>
      <c r="M64" s="1"/>
      <c r="N64" s="1"/>
    </row>
    <row r="65" customFormat="false" ht="13.8" hidden="false" customHeight="false" outlineLevel="0" collapsed="false">
      <c r="A65" s="1" t="s">
        <v>87</v>
      </c>
      <c r="B65" s="1" t="str">
        <f aca="false">IF(  OR(ISNUMBER(SEARCH("SMOTEENN",A65)),ISNUMBER(SEARCH("SMOTETomek",A65))),  "Hybrid",  IF(   AND(    OR(ISNUMBER(SEARCH("SMOTE",A65)),ISNUMBER(SEARCH("SVMSMOTE",A65)),ISNUMBER(SEARCH("RandomOverSampler",A65)),ISNUMBER(SEARCH("BorderlineSmote",A65))),    OR(ISNUMBER(SEARCH("RandomUnderSampler",A65)),ISNUMBER(SEARCH("ClusterCentroids",A65)),ISNUMBER(SEARCH("OneSidedSelection",A65)))   ),   "Over+Under",   IF(    OR(ISNUMBER(SEARCH("SMOTE",A65)),ISNUMBER(SEARCH("SVMSMOTE",A65)),ISNUMBER(SEARCH("RandomOverSampler",A65)),ISNUMBER(SEARCH("BorderlineSmote",A65))),    "Oversampling",    IF(     OR(ISNUMBER(SEARCH("RandomUnderSampler",A65)),ISNUMBER(SEARCH("ClusterCentroids",A65)),ISNUMBER(SEARCH("OneSidedSelection",A65))),     "Undersampler",     "Czysty"    )   )  ) )</f>
        <v>Hybrid</v>
      </c>
      <c r="C65" s="1" t="s">
        <v>74</v>
      </c>
      <c r="D65" s="1" t="n">
        <v>0.4148</v>
      </c>
      <c r="E65" s="1" t="n">
        <v>0.4285</v>
      </c>
      <c r="F65" s="1" t="n">
        <v>0.4404</v>
      </c>
      <c r="G65" s="1" t="n">
        <v>0.54</v>
      </c>
      <c r="I65" s="1"/>
      <c r="J65" s="1"/>
      <c r="L65" s="1"/>
      <c r="M65" s="1"/>
      <c r="N65" s="1"/>
    </row>
    <row r="67" customFormat="false" ht="13.8" hidden="false" customHeight="false" outlineLevel="0" collapsed="false">
      <c r="A67" s="2" t="s">
        <v>23</v>
      </c>
      <c r="B67" s="2"/>
      <c r="C67" s="2"/>
      <c r="D67" s="2"/>
      <c r="E67" s="2"/>
      <c r="F67" s="2"/>
      <c r="G67" s="2"/>
    </row>
    <row r="68" customFormat="false" ht="13.8" hidden="false" customHeight="false" outlineLevel="0" collapsed="false">
      <c r="A68" s="1" t="s">
        <v>81</v>
      </c>
      <c r="B68" s="1" t="str">
        <f aca="false">IF(  OR(ISNUMBER(SEARCH("SMOTEENN",A68)),ISNUMBER(SEARCH("SMOTETomek",A68))),  "Hybrid",  IF(   AND(    OR(ISNUMBER(SEARCH("SMOTE",A68)),ISNUMBER(SEARCH("SVMSMOTE",A68)),ISNUMBER(SEARCH("RandomOverSampler",A68)),ISNUMBER(SEARCH("BorderlineSmote",A68))),    OR(ISNUMBER(SEARCH("RandomUnderSampler",A68)),ISNUMBER(SEARCH("ClusterCentroids",A68)),ISNUMBER(SEARCH("OneSidedSelection",A68)))   ),   "Over+Under",   IF(    OR(ISNUMBER(SEARCH("SMOTE",A68)),ISNUMBER(SEARCH("SVMSMOTE",A68)),ISNUMBER(SEARCH("RandomOverSampler",A68)),ISNUMBER(SEARCH("BorderlineSmote",A68))),    "Oversampling",    IF(     OR(ISNUMBER(SEARCH("RandomUnderSampler",A68)),ISNUMBER(SEARCH("ClusterCentroids",A68)),ISNUMBER(SEARCH("OneSidedSelection",A68))),     "Undersampler",     "Czysty"    )   )  ) )</f>
        <v>Oversampling</v>
      </c>
      <c r="C68" s="1" t="s">
        <v>14</v>
      </c>
      <c r="D68" s="1" t="n">
        <v>0.5685</v>
      </c>
      <c r="E68" s="1" t="n">
        <v>0.5536</v>
      </c>
      <c r="F68" s="1" t="n">
        <v>0.576</v>
      </c>
      <c r="G68" s="1" t="n">
        <v>0.5478</v>
      </c>
      <c r="I68" s="1"/>
      <c r="J68" s="1"/>
      <c r="L68" s="1"/>
      <c r="M68" s="1"/>
      <c r="N68" s="1"/>
    </row>
    <row r="69" customFormat="false" ht="13.8" hidden="false" customHeight="false" outlineLevel="0" collapsed="false">
      <c r="A69" s="1" t="s">
        <v>126</v>
      </c>
      <c r="B69" s="1" t="str">
        <f aca="false">IF(  OR(ISNUMBER(SEARCH("SMOTEENN",A69)),ISNUMBER(SEARCH("SMOTETomek",A69))),  "Hybrid",  IF(   AND(    OR(ISNUMBER(SEARCH("SMOTE",A69)),ISNUMBER(SEARCH("SVMSMOTE",A69)),ISNUMBER(SEARCH("RandomOverSampler",A69)),ISNUMBER(SEARCH("BorderlineSmote",A69))),    OR(ISNUMBER(SEARCH("RandomUnderSampler",A69)),ISNUMBER(SEARCH("ClusterCentroids",A69)),ISNUMBER(SEARCH("OneSidedSelection",A69)))   ),   "Over+Under",   IF(    OR(ISNUMBER(SEARCH("SMOTE",A69)),ISNUMBER(SEARCH("SVMSMOTE",A69)),ISNUMBER(SEARCH("RandomOverSampler",A69)),ISNUMBER(SEARCH("BorderlineSmote",A69))),    "Oversampling",    IF(     OR(ISNUMBER(SEARCH("RandomUnderSampler",A69)),ISNUMBER(SEARCH("ClusterCentroids",A69)),ISNUMBER(SEARCH("OneSidedSelection",A69))),     "Undersampler",     "Czysty"    )   )  ) )</f>
        <v>Oversampling</v>
      </c>
      <c r="C69" s="1" t="s">
        <v>14</v>
      </c>
      <c r="D69" s="1" t="n">
        <v>0.5667</v>
      </c>
      <c r="E69" s="1" t="n">
        <v>0.5197</v>
      </c>
      <c r="F69" s="1" t="n">
        <v>0.5249</v>
      </c>
      <c r="G69" s="1" t="n">
        <v>0.532</v>
      </c>
      <c r="I69" s="1"/>
      <c r="J69" s="1"/>
      <c r="L69" s="1"/>
      <c r="M69" s="1"/>
      <c r="N69" s="1"/>
    </row>
    <row r="70" customFormat="false" ht="13.8" hidden="false" customHeight="false" outlineLevel="0" collapsed="false">
      <c r="A70" s="1" t="s">
        <v>79</v>
      </c>
      <c r="B70" s="1" t="str">
        <f aca="false">IF(  OR(ISNUMBER(SEARCH("SMOTEENN",A70)),ISNUMBER(SEARCH("SMOTETomek",A70))),  "Hybrid",  IF(   AND(    OR(ISNUMBER(SEARCH("SMOTE",A70)),ISNUMBER(SEARCH("SVMSMOTE",A70)),ISNUMBER(SEARCH("RandomOverSampler",A70)),ISNUMBER(SEARCH("BorderlineSmote",A70))),    OR(ISNUMBER(SEARCH("RandomUnderSampler",A70)),ISNUMBER(SEARCH("ClusterCentroids",A70)),ISNUMBER(SEARCH("OneSidedSelection",A70)))   ),   "Over+Under",   IF(    OR(ISNUMBER(SEARCH("SMOTE",A70)),ISNUMBER(SEARCH("SVMSMOTE",A70)),ISNUMBER(SEARCH("RandomOverSampler",A70)),ISNUMBER(SEARCH("BorderlineSmote",A70))),    "Oversampling",    IF(     OR(ISNUMBER(SEARCH("RandomUnderSampler",A70)),ISNUMBER(SEARCH("ClusterCentroids",A70)),ISNUMBER(SEARCH("OneSidedSelection",A70))),     "Undersampler",     "Czysty"    )   )  ) )</f>
        <v>Oversampling</v>
      </c>
      <c r="C70" s="1" t="s">
        <v>14</v>
      </c>
      <c r="D70" s="1" t="n">
        <v>0.5574</v>
      </c>
      <c r="E70" s="1" t="n">
        <v>0.519</v>
      </c>
      <c r="F70" s="1" t="n">
        <v>0.5455</v>
      </c>
      <c r="G70" s="1" t="n">
        <v>0.5174</v>
      </c>
      <c r="I70" s="1"/>
      <c r="J70" s="1"/>
      <c r="L70" s="1"/>
      <c r="M70" s="1"/>
      <c r="N70" s="1"/>
    </row>
    <row r="71" customFormat="false" ht="13.8" hidden="false" customHeight="false" outlineLevel="0" collapsed="false">
      <c r="A71" s="1" t="s">
        <v>23</v>
      </c>
      <c r="B71" s="1" t="str">
        <f aca="false">IF(  OR(ISNUMBER(SEARCH("SMOTEENN",A71)),ISNUMBER(SEARCH("SMOTETomek",A71))),  "Hybrid",  IF(   AND(    OR(ISNUMBER(SEARCH("SMOTE",A71)),ISNUMBER(SEARCH("SVMSMOTE",A71)),ISNUMBER(SEARCH("RandomOverSampler",A71)),ISNUMBER(SEARCH("BorderlineSmote",A71))),    OR(ISNUMBER(SEARCH("RandomUnderSampler",A71)),ISNUMBER(SEARCH("ClusterCentroids",A71)),ISNUMBER(SEARCH("OneSidedSelection",A71)))   ),   "Over+Under",   IF(    OR(ISNUMBER(SEARCH("SMOTE",A71)),ISNUMBER(SEARCH("SVMSMOTE",A71)),ISNUMBER(SEARCH("RandomOverSampler",A71)),ISNUMBER(SEARCH("BorderlineSmote",A71))),    "Oversampling",    IF(     OR(ISNUMBER(SEARCH("RandomUnderSampler",A71)),ISNUMBER(SEARCH("ClusterCentroids",A71)),ISNUMBER(SEARCH("OneSidedSelection",A71))),     "Undersampler",     "Czysty"    )   )  ) )</f>
        <v>Czysty</v>
      </c>
      <c r="C71" s="1" t="s">
        <v>14</v>
      </c>
      <c r="D71" s="1" t="n">
        <v>0.5889</v>
      </c>
      <c r="E71" s="1" t="n">
        <v>0.5149</v>
      </c>
      <c r="F71" s="1" t="n">
        <v>0.527</v>
      </c>
      <c r="G71" s="1" t="n">
        <v>0.5258</v>
      </c>
      <c r="I71" s="1"/>
      <c r="J71" s="1"/>
      <c r="L71" s="1"/>
      <c r="M71" s="1"/>
      <c r="N71" s="1"/>
    </row>
    <row r="72" customFormat="false" ht="13.8" hidden="false" customHeight="false" outlineLevel="0" collapsed="false">
      <c r="A72" s="1" t="s">
        <v>125</v>
      </c>
      <c r="B72" s="1" t="str">
        <f aca="false">IF(  OR(ISNUMBER(SEARCH("SMOTEENN",A72)),ISNUMBER(SEARCH("SMOTETomek",A72))),  "Hybrid",  IF(   AND(    OR(ISNUMBER(SEARCH("SMOTE",A72)),ISNUMBER(SEARCH("SVMSMOTE",A72)),ISNUMBER(SEARCH("RandomOverSampler",A72)),ISNUMBER(SEARCH("BorderlineSmote",A72))),    OR(ISNUMBER(SEARCH("RandomUnderSampler",A72)),ISNUMBER(SEARCH("ClusterCentroids",A72)),ISNUMBER(SEARCH("OneSidedSelection",A72)))   ),   "Over+Under",   IF(    OR(ISNUMBER(SEARCH("SMOTE",A72)),ISNUMBER(SEARCH("SVMSMOTE",A72)),ISNUMBER(SEARCH("RandomOverSampler",A72)),ISNUMBER(SEARCH("BorderlineSmote",A72))),    "Oversampling",    IF(     OR(ISNUMBER(SEARCH("RandomUnderSampler",A72)),ISNUMBER(SEARCH("ClusterCentroids",A72)),ISNUMBER(SEARCH("OneSidedSelection",A72))),     "Undersampler",     "Czysty"    )   )  ) )</f>
        <v>Over+Under</v>
      </c>
      <c r="C72" s="1" t="s">
        <v>14</v>
      </c>
      <c r="D72" s="1" t="n">
        <v>0.5185</v>
      </c>
      <c r="E72" s="1" t="n">
        <v>0.5115</v>
      </c>
      <c r="F72" s="1" t="n">
        <v>0.5268</v>
      </c>
      <c r="G72" s="1" t="n">
        <v>0.5366</v>
      </c>
      <c r="I72" s="1"/>
      <c r="J72" s="1"/>
      <c r="L72" s="1"/>
      <c r="M72" s="1"/>
      <c r="N72" s="1"/>
    </row>
    <row r="73" customFormat="false" ht="13.8" hidden="false" customHeight="false" outlineLevel="0" collapsed="false">
      <c r="A73" s="1" t="s">
        <v>80</v>
      </c>
      <c r="B73" s="1" t="str">
        <f aca="false">IF(  OR(ISNUMBER(SEARCH("SMOTEENN",A73)),ISNUMBER(SEARCH("SMOTETomek",A73))),  "Hybrid",  IF(   AND(    OR(ISNUMBER(SEARCH("SMOTE",A73)),ISNUMBER(SEARCH("SVMSMOTE",A73)),ISNUMBER(SEARCH("RandomOverSampler",A73)),ISNUMBER(SEARCH("BorderlineSmote",A73))),    OR(ISNUMBER(SEARCH("RandomUnderSampler",A73)),ISNUMBER(SEARCH("ClusterCentroids",A73)),ISNUMBER(SEARCH("OneSidedSelection",A73)))   ),   "Over+Under",   IF(    OR(ISNUMBER(SEARCH("SMOTE",A73)),ISNUMBER(SEARCH("SVMSMOTE",A73)),ISNUMBER(SEARCH("RandomOverSampler",A73)),ISNUMBER(SEARCH("BorderlineSmote",A73))),    "Oversampling",    IF(     OR(ISNUMBER(SEARCH("RandomUnderSampler",A73)),ISNUMBER(SEARCH("ClusterCentroids",A73)),ISNUMBER(SEARCH("OneSidedSelection",A73))),     "Undersampler",     "Czysty"    )   )  ) )</f>
        <v>Hybrid</v>
      </c>
      <c r="C73" s="1" t="s">
        <v>14</v>
      </c>
      <c r="D73" s="1" t="n">
        <v>0.5481</v>
      </c>
      <c r="E73" s="1" t="n">
        <v>0.5102</v>
      </c>
      <c r="F73" s="1" t="n">
        <v>0.5547</v>
      </c>
      <c r="G73" s="1" t="n">
        <v>0.5154</v>
      </c>
      <c r="I73" s="1"/>
      <c r="J73" s="1"/>
      <c r="L73" s="1"/>
      <c r="M73" s="1"/>
      <c r="N73" s="1"/>
    </row>
    <row r="74" customFormat="false" ht="13.8" hidden="false" customHeight="false" outlineLevel="0" collapsed="false">
      <c r="A74" s="1" t="s">
        <v>85</v>
      </c>
      <c r="B74" s="1" t="str">
        <f aca="false">IF(  OR(ISNUMBER(SEARCH("SMOTEENN",A74)),ISNUMBER(SEARCH("SMOTETomek",A74))),  "Hybrid",  IF(   AND(    OR(ISNUMBER(SEARCH("SMOTE",A74)),ISNUMBER(SEARCH("SVMSMOTE",A74)),ISNUMBER(SEARCH("RandomOverSampler",A74)),ISNUMBER(SEARCH("BorderlineSmote",A74))),    OR(ISNUMBER(SEARCH("RandomUnderSampler",A74)),ISNUMBER(SEARCH("ClusterCentroids",A74)),ISNUMBER(SEARCH("OneSidedSelection",A74)))   ),   "Over+Under",   IF(    OR(ISNUMBER(SEARCH("SMOTE",A74)),ISNUMBER(SEARCH("SVMSMOTE",A74)),ISNUMBER(SEARCH("RandomOverSampler",A74)),ISNUMBER(SEARCH("BorderlineSmote",A74))),    "Oversampling",    IF(     OR(ISNUMBER(SEARCH("RandomUnderSampler",A74)),ISNUMBER(SEARCH("ClusterCentroids",A74)),ISNUMBER(SEARCH("OneSidedSelection",A74))),     "Undersampler",     "Czysty"    )   )  ) )</f>
        <v>Over+Under</v>
      </c>
      <c r="C74" s="1" t="s">
        <v>14</v>
      </c>
      <c r="D74" s="1" t="n">
        <v>0.4963</v>
      </c>
      <c r="E74" s="1" t="n">
        <v>0.4911</v>
      </c>
      <c r="F74" s="1" t="n">
        <v>0.4975</v>
      </c>
      <c r="G74" s="1" t="n">
        <v>0.5196</v>
      </c>
      <c r="I74" s="1"/>
      <c r="J74" s="1"/>
      <c r="L74" s="1"/>
      <c r="M74" s="1"/>
      <c r="N74" s="1"/>
    </row>
    <row r="75" customFormat="false" ht="13.8" hidden="false" customHeight="false" outlineLevel="0" collapsed="false">
      <c r="A75" s="1" t="s">
        <v>123</v>
      </c>
      <c r="B75" s="1" t="str">
        <f aca="false">IF(  OR(ISNUMBER(SEARCH("SMOTEENN",A75)),ISNUMBER(SEARCH("SMOTETomek",A75))),  "Hybrid",  IF(   AND(    OR(ISNUMBER(SEARCH("SMOTE",A75)),ISNUMBER(SEARCH("SVMSMOTE",A75)),ISNUMBER(SEARCH("RandomOverSampler",A75)),ISNUMBER(SEARCH("BorderlineSmote",A75))),    OR(ISNUMBER(SEARCH("RandomUnderSampler",A75)),ISNUMBER(SEARCH("ClusterCentroids",A75)),ISNUMBER(SEARCH("OneSidedSelection",A75)))   ),   "Over+Under",   IF(    OR(ISNUMBER(SEARCH("SMOTE",A75)),ISNUMBER(SEARCH("SVMSMOTE",A75)),ISNUMBER(SEARCH("RandomOverSampler",A75)),ISNUMBER(SEARCH("BorderlineSmote",A75))),    "Oversampling",    IF(     OR(ISNUMBER(SEARCH("RandomUnderSampler",A75)),ISNUMBER(SEARCH("ClusterCentroids",A75)),ISNUMBER(SEARCH("OneSidedSelection",A75))),     "Undersampler",     "Czysty"    )   )  ) )</f>
        <v>Oversampling</v>
      </c>
      <c r="C75" s="1" t="s">
        <v>14</v>
      </c>
      <c r="D75" s="1" t="n">
        <v>0.5241</v>
      </c>
      <c r="E75" s="1" t="n">
        <v>0.4808</v>
      </c>
      <c r="F75" s="1" t="n">
        <v>0.5157</v>
      </c>
      <c r="G75" s="1" t="n">
        <v>0.4747</v>
      </c>
      <c r="I75" s="1"/>
      <c r="J75" s="1"/>
      <c r="L75" s="1"/>
      <c r="M75" s="1"/>
      <c r="N75" s="1"/>
    </row>
    <row r="76" customFormat="false" ht="13.8" hidden="false" customHeight="false" outlineLevel="0" collapsed="false">
      <c r="A76" s="1" t="s">
        <v>86</v>
      </c>
      <c r="B76" s="1" t="str">
        <f aca="false">IF(  OR(ISNUMBER(SEARCH("SMOTEENN",A76)),ISNUMBER(SEARCH("SMOTETomek",A76))),  "Hybrid",  IF(   AND(    OR(ISNUMBER(SEARCH("SMOTE",A76)),ISNUMBER(SEARCH("SVMSMOTE",A76)),ISNUMBER(SEARCH("RandomOverSampler",A76)),ISNUMBER(SEARCH("BorderlineSmote",A76))),    OR(ISNUMBER(SEARCH("RandomUnderSampler",A76)),ISNUMBER(SEARCH("ClusterCentroids",A76)),ISNUMBER(SEARCH("OneSidedSelection",A76)))   ),   "Over+Under",   IF(    OR(ISNUMBER(SEARCH("SMOTE",A76)),ISNUMBER(SEARCH("SVMSMOTE",A76)),ISNUMBER(SEARCH("RandomOverSampler",A76)),ISNUMBER(SEARCH("BorderlineSmote",A76))),    "Oversampling",    IF(     OR(ISNUMBER(SEARCH("RandomUnderSampler",A76)),ISNUMBER(SEARCH("ClusterCentroids",A76)),ISNUMBER(SEARCH("OneSidedSelection",A76))),     "Undersampler",     "Czysty"    )   )  ) )</f>
        <v>Over+Under</v>
      </c>
      <c r="C76" s="1" t="s">
        <v>14</v>
      </c>
      <c r="D76" s="1" t="n">
        <v>0.4778</v>
      </c>
      <c r="E76" s="1" t="n">
        <v>0.4762</v>
      </c>
      <c r="F76" s="1" t="n">
        <v>0.4833</v>
      </c>
      <c r="G76" s="1" t="n">
        <v>0.5035</v>
      </c>
      <c r="I76" s="1"/>
      <c r="J76" s="1"/>
      <c r="L76" s="1"/>
      <c r="M76" s="1"/>
      <c r="N76" s="1"/>
    </row>
    <row r="77" customFormat="false" ht="13.8" hidden="false" customHeight="false" outlineLevel="0" collapsed="false">
      <c r="A77" s="1" t="s">
        <v>82</v>
      </c>
      <c r="B77" s="1" t="str">
        <f aca="false">IF(  OR(ISNUMBER(SEARCH("SMOTEENN",A77)),ISNUMBER(SEARCH("SMOTETomek",A77))),  "Hybrid",  IF(   AND(    OR(ISNUMBER(SEARCH("SMOTE",A77)),ISNUMBER(SEARCH("SVMSMOTE",A77)),ISNUMBER(SEARCH("RandomOverSampler",A77)),ISNUMBER(SEARCH("BorderlineSmote",A77))),    OR(ISNUMBER(SEARCH("RandomUnderSampler",A77)),ISNUMBER(SEARCH("ClusterCentroids",A77)),ISNUMBER(SEARCH("OneSidedSelection",A77)))   ),   "Over+Under",   IF(    OR(ISNUMBER(SEARCH("SMOTE",A77)),ISNUMBER(SEARCH("SVMSMOTE",A77)),ISNUMBER(SEARCH("RandomOverSampler",A77)),ISNUMBER(SEARCH("BorderlineSmote",A77))),    "Oversampling",    IF(     OR(ISNUMBER(SEARCH("RandomUnderSampler",A77)),ISNUMBER(SEARCH("ClusterCentroids",A77)),ISNUMBER(SEARCH("OneSidedSelection",A77))),     "Undersampler",     "Czysty"    )   )  ) )</f>
        <v>Over+Under</v>
      </c>
      <c r="C77" s="1" t="s">
        <v>14</v>
      </c>
      <c r="D77" s="1" t="n">
        <v>0.4574</v>
      </c>
      <c r="E77" s="1" t="n">
        <v>0.4641</v>
      </c>
      <c r="F77" s="1" t="n">
        <v>0.4774</v>
      </c>
      <c r="G77" s="1" t="n">
        <v>0.4936</v>
      </c>
      <c r="I77" s="1"/>
      <c r="J77" s="1"/>
      <c r="L77" s="1"/>
      <c r="M77" s="1"/>
      <c r="N77" s="1"/>
    </row>
    <row r="78" customFormat="false" ht="13.8" hidden="false" customHeight="false" outlineLevel="0" collapsed="false">
      <c r="A78" s="1" t="s">
        <v>124</v>
      </c>
      <c r="B78" s="1" t="str">
        <f aca="false">IF(  OR(ISNUMBER(SEARCH("SMOTEENN",A78)),ISNUMBER(SEARCH("SMOTETomek",A78))),  "Hybrid",  IF(   AND(    OR(ISNUMBER(SEARCH("SMOTE",A78)),ISNUMBER(SEARCH("SVMSMOTE",A78)),ISNUMBER(SEARCH("RandomOverSampler",A78)),ISNUMBER(SEARCH("BorderlineSmote",A78))),    OR(ISNUMBER(SEARCH("RandomUnderSampler",A78)),ISNUMBER(SEARCH("ClusterCentroids",A78)),ISNUMBER(SEARCH("OneSidedSelection",A78)))   ),   "Over+Under",   IF(    OR(ISNUMBER(SEARCH("SMOTE",A78)),ISNUMBER(SEARCH("SVMSMOTE",A78)),ISNUMBER(SEARCH("RandomOverSampler",A78)),ISNUMBER(SEARCH("BorderlineSmote",A78))),    "Oversampling",    IF(     OR(ISNUMBER(SEARCH("RandomUnderSampler",A78)),ISNUMBER(SEARCH("ClusterCentroids",A78)),ISNUMBER(SEARCH("OneSidedSelection",A78))),     "Undersampler",     "Czysty"    )   )  ) )</f>
        <v>Over+Under</v>
      </c>
      <c r="C78" s="1" t="s">
        <v>14</v>
      </c>
      <c r="D78" s="1" t="n">
        <v>0.4463</v>
      </c>
      <c r="E78" s="1" t="n">
        <v>0.4472</v>
      </c>
      <c r="F78" s="1" t="n">
        <v>0.4664</v>
      </c>
      <c r="G78" s="1" t="n">
        <v>0.4714</v>
      </c>
      <c r="I78" s="1"/>
      <c r="J78" s="1"/>
      <c r="L78" s="1"/>
      <c r="M78" s="1"/>
      <c r="N78" s="1"/>
    </row>
    <row r="79" customFormat="false" ht="13.8" hidden="false" customHeight="false" outlineLevel="0" collapsed="false">
      <c r="A79" s="1" t="s">
        <v>83</v>
      </c>
      <c r="B79" s="1" t="str">
        <f aca="false">IF(  OR(ISNUMBER(SEARCH("SMOTEENN",A79)),ISNUMBER(SEARCH("SMOTETomek",A79))),  "Hybrid",  IF(   AND(    OR(ISNUMBER(SEARCH("SMOTE",A79)),ISNUMBER(SEARCH("SVMSMOTE",A79)),ISNUMBER(SEARCH("RandomOverSampler",A79)),ISNUMBER(SEARCH("BorderlineSmote",A79))),    OR(ISNUMBER(SEARCH("RandomUnderSampler",A79)),ISNUMBER(SEARCH("ClusterCentroids",A79)),ISNUMBER(SEARCH("OneSidedSelection",A79)))   ),   "Over+Under",   IF(    OR(ISNUMBER(SEARCH("SMOTE",A79)),ISNUMBER(SEARCH("SVMSMOTE",A79)),ISNUMBER(SEARCH("RandomOverSampler",A79)),ISNUMBER(SEARCH("BorderlineSmote",A79))),    "Oversampling",    IF(     OR(ISNUMBER(SEARCH("RandomUnderSampler",A79)),ISNUMBER(SEARCH("ClusterCentroids",A79)),ISNUMBER(SEARCH("OneSidedSelection",A79))),     "Undersampler",     "Czysty"    )   )  ) )</f>
        <v>Over+Under</v>
      </c>
      <c r="C79" s="1" t="s">
        <v>14</v>
      </c>
      <c r="D79" s="1" t="n">
        <v>0.4537</v>
      </c>
      <c r="E79" s="1" t="n">
        <v>0.4415</v>
      </c>
      <c r="F79" s="1" t="n">
        <v>0.4535</v>
      </c>
      <c r="G79" s="1" t="n">
        <v>0.4452</v>
      </c>
      <c r="I79" s="1"/>
      <c r="J79" s="1"/>
      <c r="L79" s="1"/>
      <c r="M79" s="1"/>
      <c r="N79" s="1"/>
    </row>
    <row r="80" customFormat="false" ht="13.8" hidden="false" customHeight="false" outlineLevel="0" collapsed="false">
      <c r="A80" s="1" t="s">
        <v>88</v>
      </c>
      <c r="B80" s="1" t="str">
        <f aca="false">IF(  OR(ISNUMBER(SEARCH("SMOTEENN",A80)),ISNUMBER(SEARCH("SMOTETomek",A80))),  "Hybrid",  IF(   AND(    OR(ISNUMBER(SEARCH("SMOTE",A80)),ISNUMBER(SEARCH("SVMSMOTE",A80)),ISNUMBER(SEARCH("RandomOverSampler",A80)),ISNUMBER(SEARCH("BorderlineSmote",A80))),    OR(ISNUMBER(SEARCH("RandomUnderSampler",A80)),ISNUMBER(SEARCH("ClusterCentroids",A80)),ISNUMBER(SEARCH("OneSidedSelection",A80)))   ),   "Over+Under",   IF(    OR(ISNUMBER(SEARCH("SMOTE",A80)),ISNUMBER(SEARCH("SVMSMOTE",A80)),ISNUMBER(SEARCH("RandomOverSampler",A80)),ISNUMBER(SEARCH("BorderlineSmote",A80))),    "Oversampling",    IF(     OR(ISNUMBER(SEARCH("RandomUnderSampler",A80)),ISNUMBER(SEARCH("ClusterCentroids",A80)),ISNUMBER(SEARCH("OneSidedSelection",A80))),     "Undersampler",     "Czysty"    )   )  ) )</f>
        <v>Over+Under</v>
      </c>
      <c r="C80" s="1" t="s">
        <v>14</v>
      </c>
      <c r="D80" s="1" t="n">
        <v>0.4167</v>
      </c>
      <c r="E80" s="1" t="n">
        <v>0.4233</v>
      </c>
      <c r="F80" s="1" t="n">
        <v>0.4564</v>
      </c>
      <c r="G80" s="1" t="n">
        <v>0.4563</v>
      </c>
      <c r="I80" s="1"/>
      <c r="J80" s="1"/>
      <c r="L80" s="1"/>
      <c r="M80" s="1"/>
      <c r="N80" s="1"/>
    </row>
    <row r="81" customFormat="false" ht="13.8" hidden="false" customHeight="false" outlineLevel="0" collapsed="false">
      <c r="A81" s="1" t="s">
        <v>87</v>
      </c>
      <c r="B81" s="1" t="str">
        <f aca="false">IF(  OR(ISNUMBER(SEARCH("SMOTEENN",A81)),ISNUMBER(SEARCH("SMOTETomek",A81))),  "Hybrid",  IF(   AND(    OR(ISNUMBER(SEARCH("SMOTE",A81)),ISNUMBER(SEARCH("SVMSMOTE",A81)),ISNUMBER(SEARCH("RandomOverSampler",A81)),ISNUMBER(SEARCH("BorderlineSmote",A81))),    OR(ISNUMBER(SEARCH("RandomUnderSampler",A81)),ISNUMBER(SEARCH("ClusterCentroids",A81)),ISNUMBER(SEARCH("OneSidedSelection",A81)))   ),   "Over+Under",   IF(    OR(ISNUMBER(SEARCH("SMOTE",A81)),ISNUMBER(SEARCH("SVMSMOTE",A81)),ISNUMBER(SEARCH("RandomOverSampler",A81)),ISNUMBER(SEARCH("BorderlineSmote",A81))),    "Oversampling",    IF(     OR(ISNUMBER(SEARCH("RandomUnderSampler",A81)),ISNUMBER(SEARCH("ClusterCentroids",A81)),ISNUMBER(SEARCH("OneSidedSelection",A81))),     "Undersampler",     "Czysty"    )   )  ) )</f>
        <v>Hybrid</v>
      </c>
      <c r="C81" s="1" t="s">
        <v>14</v>
      </c>
      <c r="D81" s="1" t="n">
        <v>0.4019</v>
      </c>
      <c r="E81" s="1" t="n">
        <v>0.409</v>
      </c>
      <c r="F81" s="1" t="n">
        <v>0.4149</v>
      </c>
      <c r="G81" s="1" t="n">
        <v>0.4953</v>
      </c>
      <c r="I81" s="1"/>
      <c r="J81" s="1"/>
      <c r="L81" s="1"/>
      <c r="M81" s="1"/>
      <c r="N81" s="1"/>
    </row>
    <row r="82" customFormat="false" ht="13.8" hidden="false" customHeight="false" outlineLevel="0" collapsed="false">
      <c r="A82" s="1" t="s">
        <v>84</v>
      </c>
      <c r="B82" s="1" t="str">
        <f aca="false">IF(  OR(ISNUMBER(SEARCH("SMOTEENN",A82)),ISNUMBER(SEARCH("SMOTETomek",A82))),  "Hybrid",  IF(   AND(    OR(ISNUMBER(SEARCH("SMOTE",A82)),ISNUMBER(SEARCH("SVMSMOTE",A82)),ISNUMBER(SEARCH("RandomOverSampler",A82)),ISNUMBER(SEARCH("BorderlineSmote",A82))),    OR(ISNUMBER(SEARCH("RandomUnderSampler",A82)),ISNUMBER(SEARCH("ClusterCentroids",A82)),ISNUMBER(SEARCH("OneSidedSelection",A82)))   ),   "Over+Under",   IF(    OR(ISNUMBER(SEARCH("SMOTE",A82)),ISNUMBER(SEARCH("SVMSMOTE",A82)),ISNUMBER(SEARCH("RandomOverSampler",A82)),ISNUMBER(SEARCH("BorderlineSmote",A82))),    "Oversampling",    IF(     OR(ISNUMBER(SEARCH("RandomUnderSampler",A82)),ISNUMBER(SEARCH("ClusterCentroids",A82)),ISNUMBER(SEARCH("OneSidedSelection",A82))),     "Undersampler",     "Czysty"    )   )  ) )</f>
        <v>Over+Under</v>
      </c>
      <c r="C82" s="1" t="s">
        <v>14</v>
      </c>
      <c r="D82" s="1" t="n">
        <v>0.4204</v>
      </c>
      <c r="E82" s="1" t="n">
        <v>0.392</v>
      </c>
      <c r="F82" s="1" t="n">
        <v>0.4097</v>
      </c>
      <c r="G82" s="1" t="n">
        <v>0.4148</v>
      </c>
      <c r="I82" s="1"/>
      <c r="J82" s="1"/>
      <c r="L82" s="1"/>
      <c r="M82" s="1"/>
      <c r="N82" s="1"/>
    </row>
    <row r="83" customFormat="false" ht="13.8" hidden="false" customHeight="false" outlineLevel="0" collapsed="false">
      <c r="A83" s="1" t="s">
        <v>81</v>
      </c>
      <c r="B83" s="1" t="str">
        <f aca="false">IF(  OR(ISNUMBER(SEARCH("SMOTEENN",A83)),ISNUMBER(SEARCH("SMOTETomek",A83))),  "Hybrid",  IF(   AND(    OR(ISNUMBER(SEARCH("SMOTE",A83)),ISNUMBER(SEARCH("SVMSMOTE",A83)),ISNUMBER(SEARCH("RandomOverSampler",A83)),ISNUMBER(SEARCH("BorderlineSmote",A83))),    OR(ISNUMBER(SEARCH("RandomUnderSampler",A83)),ISNUMBER(SEARCH("ClusterCentroids",A83)),ISNUMBER(SEARCH("OneSidedSelection",A83)))   ),   "Over+Under",   IF(    OR(ISNUMBER(SEARCH("SMOTE",A83)),ISNUMBER(SEARCH("SVMSMOTE",A83)),ISNUMBER(SEARCH("RandomOverSampler",A83)),ISNUMBER(SEARCH("BorderlineSmote",A83))),    "Oversampling",    IF(     OR(ISNUMBER(SEARCH("RandomUnderSampler",A83)),ISNUMBER(SEARCH("ClusterCentroids",A83)),ISNUMBER(SEARCH("OneSidedSelection",A83))),     "Undersampler",     "Czysty"    )   )  ) )</f>
        <v>Oversampling</v>
      </c>
      <c r="C83" s="1" t="s">
        <v>74</v>
      </c>
      <c r="D83" s="1" t="n">
        <v>0.5537</v>
      </c>
      <c r="E83" s="1" t="n">
        <v>0.54</v>
      </c>
      <c r="F83" s="1" t="n">
        <v>0.5642</v>
      </c>
      <c r="G83" s="1" t="n">
        <v>0.5326</v>
      </c>
      <c r="I83" s="1"/>
      <c r="J83" s="1"/>
      <c r="L83" s="1"/>
      <c r="M83" s="1"/>
      <c r="N83" s="1"/>
    </row>
    <row r="84" customFormat="false" ht="13.8" hidden="false" customHeight="false" outlineLevel="0" collapsed="false">
      <c r="A84" s="1" t="s">
        <v>126</v>
      </c>
      <c r="B84" s="1" t="str">
        <f aca="false">IF(  OR(ISNUMBER(SEARCH("SMOTEENN",A84)),ISNUMBER(SEARCH("SMOTETomek",A84))),  "Hybrid",  IF(   AND(    OR(ISNUMBER(SEARCH("SMOTE",A84)),ISNUMBER(SEARCH("SVMSMOTE",A84)),ISNUMBER(SEARCH("RandomOverSampler",A84)),ISNUMBER(SEARCH("BorderlineSmote",A84))),    OR(ISNUMBER(SEARCH("RandomUnderSampler",A84)),ISNUMBER(SEARCH("ClusterCentroids",A84)),ISNUMBER(SEARCH("OneSidedSelection",A84)))   ),   "Over+Under",   IF(    OR(ISNUMBER(SEARCH("SMOTE",A84)),ISNUMBER(SEARCH("SVMSMOTE",A84)),ISNUMBER(SEARCH("RandomOverSampler",A84)),ISNUMBER(SEARCH("BorderlineSmote",A84))),    "Oversampling",    IF(     OR(ISNUMBER(SEARCH("RandomUnderSampler",A84)),ISNUMBER(SEARCH("ClusterCentroids",A84)),ISNUMBER(SEARCH("OneSidedSelection",A84))),     "Undersampler",     "Czysty"    )   )  ) )</f>
        <v>Oversampling</v>
      </c>
      <c r="C84" s="1" t="s">
        <v>74</v>
      </c>
      <c r="D84" s="1" t="n">
        <v>0.5611</v>
      </c>
      <c r="E84" s="1" t="n">
        <v>0.5361</v>
      </c>
      <c r="F84" s="1" t="n">
        <v>0.5434</v>
      </c>
      <c r="G84" s="1" t="n">
        <v>0.5417</v>
      </c>
      <c r="I84" s="1"/>
      <c r="J84" s="1"/>
      <c r="L84" s="1"/>
      <c r="M84" s="1"/>
      <c r="N84" s="1"/>
    </row>
    <row r="85" customFormat="false" ht="13.8" hidden="false" customHeight="false" outlineLevel="0" collapsed="false">
      <c r="A85" s="1" t="s">
        <v>23</v>
      </c>
      <c r="B85" s="1" t="str">
        <f aca="false">IF(  OR(ISNUMBER(SEARCH("SMOTEENN",A85)),ISNUMBER(SEARCH("SMOTETomek",A85))),  "Hybrid",  IF(   AND(    OR(ISNUMBER(SEARCH("SMOTE",A85)),ISNUMBER(SEARCH("SVMSMOTE",A85)),ISNUMBER(SEARCH("RandomOverSampler",A85)),ISNUMBER(SEARCH("BorderlineSmote",A85))),    OR(ISNUMBER(SEARCH("RandomUnderSampler",A85)),ISNUMBER(SEARCH("ClusterCentroids",A85)),ISNUMBER(SEARCH("OneSidedSelection",A85)))   ),   "Over+Under",   IF(    OR(ISNUMBER(SEARCH("SMOTE",A85)),ISNUMBER(SEARCH("SVMSMOTE",A85)),ISNUMBER(SEARCH("RandomOverSampler",A85)),ISNUMBER(SEARCH("BorderlineSmote",A85))),    "Oversampling",    IF(     OR(ISNUMBER(SEARCH("RandomUnderSampler",A85)),ISNUMBER(SEARCH("ClusterCentroids",A85)),ISNUMBER(SEARCH("OneSidedSelection",A85))),     "Undersampler",     "Czysty"    )   )  ) )</f>
        <v>Czysty</v>
      </c>
      <c r="C85" s="1" t="s">
        <v>74</v>
      </c>
      <c r="D85" s="1" t="n">
        <v>0.5907</v>
      </c>
      <c r="E85" s="1" t="n">
        <v>0.5354</v>
      </c>
      <c r="F85" s="1" t="n">
        <v>0.5389</v>
      </c>
      <c r="G85" s="1" t="n">
        <v>0.5521</v>
      </c>
      <c r="I85" s="1"/>
      <c r="J85" s="1"/>
      <c r="L85" s="1"/>
      <c r="M85" s="1"/>
      <c r="N85" s="1"/>
    </row>
    <row r="86" customFormat="false" ht="13.8" hidden="false" customHeight="false" outlineLevel="0" collapsed="false">
      <c r="A86" s="1" t="s">
        <v>80</v>
      </c>
      <c r="B86" s="1" t="str">
        <f aca="false">IF(  OR(ISNUMBER(SEARCH("SMOTEENN",A86)),ISNUMBER(SEARCH("SMOTETomek",A86))),  "Hybrid",  IF(   AND(    OR(ISNUMBER(SEARCH("SMOTE",A86)),ISNUMBER(SEARCH("SVMSMOTE",A86)),ISNUMBER(SEARCH("RandomOverSampler",A86)),ISNUMBER(SEARCH("BorderlineSmote",A86))),    OR(ISNUMBER(SEARCH("RandomUnderSampler",A86)),ISNUMBER(SEARCH("ClusterCentroids",A86)),ISNUMBER(SEARCH("OneSidedSelection",A86)))   ),   "Over+Under",   IF(    OR(ISNUMBER(SEARCH("SMOTE",A86)),ISNUMBER(SEARCH("SVMSMOTE",A86)),ISNUMBER(SEARCH("RandomOverSampler",A86)),ISNUMBER(SEARCH("BorderlineSmote",A86))),    "Oversampling",    IF(     OR(ISNUMBER(SEARCH("RandomUnderSampler",A86)),ISNUMBER(SEARCH("ClusterCentroids",A86)),ISNUMBER(SEARCH("OneSidedSelection",A86))),     "Undersampler",     "Czysty"    )   )  ) )</f>
        <v>Hybrid</v>
      </c>
      <c r="C86" s="1" t="s">
        <v>74</v>
      </c>
      <c r="D86" s="1" t="n">
        <v>0.563</v>
      </c>
      <c r="E86" s="1" t="n">
        <v>0.5178</v>
      </c>
      <c r="F86" s="1" t="n">
        <v>0.5373</v>
      </c>
      <c r="G86" s="1" t="n">
        <v>0.5132</v>
      </c>
      <c r="I86" s="1"/>
      <c r="J86" s="1"/>
      <c r="L86" s="1"/>
      <c r="M86" s="1"/>
      <c r="N86" s="1"/>
    </row>
    <row r="87" customFormat="false" ht="13.8" hidden="false" customHeight="false" outlineLevel="0" collapsed="false">
      <c r="A87" s="1" t="s">
        <v>125</v>
      </c>
      <c r="B87" s="1" t="str">
        <f aca="false">IF(  OR(ISNUMBER(SEARCH("SMOTEENN",A87)),ISNUMBER(SEARCH("SMOTETomek",A87))),  "Hybrid",  IF(   AND(    OR(ISNUMBER(SEARCH("SMOTE",A87)),ISNUMBER(SEARCH("SVMSMOTE",A87)),ISNUMBER(SEARCH("RandomOverSampler",A87)),ISNUMBER(SEARCH("BorderlineSmote",A87))),    OR(ISNUMBER(SEARCH("RandomUnderSampler",A87)),ISNUMBER(SEARCH("ClusterCentroids",A87)),ISNUMBER(SEARCH("OneSidedSelection",A87)))   ),   "Over+Under",   IF(    OR(ISNUMBER(SEARCH("SMOTE",A87)),ISNUMBER(SEARCH("SVMSMOTE",A87)),ISNUMBER(SEARCH("RandomOverSampler",A87)),ISNUMBER(SEARCH("BorderlineSmote",A87))),    "Oversampling",    IF(     OR(ISNUMBER(SEARCH("RandomUnderSampler",A87)),ISNUMBER(SEARCH("ClusterCentroids",A87)),ISNUMBER(SEARCH("OneSidedSelection",A87))),     "Undersampler",     "Czysty"    )   )  ) )</f>
        <v>Over+Under</v>
      </c>
      <c r="C87" s="1" t="s">
        <v>74</v>
      </c>
      <c r="D87" s="1" t="n">
        <v>0.513</v>
      </c>
      <c r="E87" s="1" t="n">
        <v>0.5041</v>
      </c>
      <c r="F87" s="1" t="n">
        <v>0.5191</v>
      </c>
      <c r="G87" s="1" t="n">
        <v>0.5281</v>
      </c>
      <c r="I87" s="1"/>
      <c r="J87" s="1"/>
      <c r="L87" s="1"/>
      <c r="M87" s="1"/>
      <c r="N87" s="1"/>
    </row>
    <row r="88" customFormat="false" ht="13.8" hidden="false" customHeight="false" outlineLevel="0" collapsed="false">
      <c r="A88" s="1" t="s">
        <v>79</v>
      </c>
      <c r="B88" s="1" t="str">
        <f aca="false">IF(  OR(ISNUMBER(SEARCH("SMOTEENN",A88)),ISNUMBER(SEARCH("SMOTETomek",A88))),  "Hybrid",  IF(   AND(    OR(ISNUMBER(SEARCH("SMOTE",A88)),ISNUMBER(SEARCH("SVMSMOTE",A88)),ISNUMBER(SEARCH("RandomOverSampler",A88)),ISNUMBER(SEARCH("BorderlineSmote",A88))),    OR(ISNUMBER(SEARCH("RandomUnderSampler",A88)),ISNUMBER(SEARCH("ClusterCentroids",A88)),ISNUMBER(SEARCH("OneSidedSelection",A88)))   ),   "Over+Under",   IF(    OR(ISNUMBER(SEARCH("SMOTE",A88)),ISNUMBER(SEARCH("SVMSMOTE",A88)),ISNUMBER(SEARCH("RandomOverSampler",A88)),ISNUMBER(SEARCH("BorderlineSmote",A88))),    "Oversampling",    IF(     OR(ISNUMBER(SEARCH("RandomUnderSampler",A88)),ISNUMBER(SEARCH("ClusterCentroids",A88)),ISNUMBER(SEARCH("OneSidedSelection",A88))),     "Undersampler",     "Czysty"    )   )  ) )</f>
        <v>Oversampling</v>
      </c>
      <c r="C88" s="1" t="s">
        <v>74</v>
      </c>
      <c r="D88" s="1" t="n">
        <v>0.5741</v>
      </c>
      <c r="E88" s="1" t="n">
        <v>0.5015</v>
      </c>
      <c r="F88" s="1" t="n">
        <v>0.5142</v>
      </c>
      <c r="G88" s="1" t="n">
        <v>0.5039</v>
      </c>
      <c r="I88" s="1"/>
      <c r="J88" s="1"/>
      <c r="L88" s="1"/>
      <c r="M88" s="1"/>
      <c r="N88" s="1"/>
    </row>
    <row r="89" customFormat="false" ht="13.8" hidden="false" customHeight="false" outlineLevel="0" collapsed="false">
      <c r="A89" s="1" t="s">
        <v>123</v>
      </c>
      <c r="B89" s="1" t="str">
        <f aca="false">IF(  OR(ISNUMBER(SEARCH("SMOTEENN",A89)),ISNUMBER(SEARCH("SMOTETomek",A89))),  "Hybrid",  IF(   AND(    OR(ISNUMBER(SEARCH("SMOTE",A89)),ISNUMBER(SEARCH("SVMSMOTE",A89)),ISNUMBER(SEARCH("RandomOverSampler",A89)),ISNUMBER(SEARCH("BorderlineSmote",A89))),    OR(ISNUMBER(SEARCH("RandomUnderSampler",A89)),ISNUMBER(SEARCH("ClusterCentroids",A89)),ISNUMBER(SEARCH("OneSidedSelection",A89)))   ),   "Over+Under",   IF(    OR(ISNUMBER(SEARCH("SMOTE",A89)),ISNUMBER(SEARCH("SVMSMOTE",A89)),ISNUMBER(SEARCH("RandomOverSampler",A89)),ISNUMBER(SEARCH("BorderlineSmote",A89))),    "Oversampling",    IF(     OR(ISNUMBER(SEARCH("RandomUnderSampler",A89)),ISNUMBER(SEARCH("ClusterCentroids",A89)),ISNUMBER(SEARCH("OneSidedSelection",A89))),     "Undersampler",     "Czysty"    )   )  ) )</f>
        <v>Oversampling</v>
      </c>
      <c r="C89" s="1" t="s">
        <v>74</v>
      </c>
      <c r="D89" s="1" t="n">
        <v>0.5333</v>
      </c>
      <c r="E89" s="1" t="n">
        <v>0.5015</v>
      </c>
      <c r="F89" s="1" t="n">
        <v>0.5363</v>
      </c>
      <c r="G89" s="1" t="n">
        <v>0.4953</v>
      </c>
      <c r="I89" s="1"/>
      <c r="J89" s="1"/>
      <c r="L89" s="1"/>
      <c r="M89" s="1"/>
      <c r="N89" s="1"/>
    </row>
    <row r="90" customFormat="false" ht="13.8" hidden="false" customHeight="false" outlineLevel="0" collapsed="false">
      <c r="A90" s="1" t="s">
        <v>82</v>
      </c>
      <c r="B90" s="1" t="str">
        <f aca="false">IF(  OR(ISNUMBER(SEARCH("SMOTEENN",A90)),ISNUMBER(SEARCH("SMOTETomek",A90))),  "Hybrid",  IF(   AND(    OR(ISNUMBER(SEARCH("SMOTE",A90)),ISNUMBER(SEARCH("SVMSMOTE",A90)),ISNUMBER(SEARCH("RandomOverSampler",A90)),ISNUMBER(SEARCH("BorderlineSmote",A90))),    OR(ISNUMBER(SEARCH("RandomUnderSampler",A90)),ISNUMBER(SEARCH("ClusterCentroids",A90)),ISNUMBER(SEARCH("OneSidedSelection",A90)))   ),   "Over+Under",   IF(    OR(ISNUMBER(SEARCH("SMOTE",A90)),ISNUMBER(SEARCH("SVMSMOTE",A90)),ISNUMBER(SEARCH("RandomOverSampler",A90)),ISNUMBER(SEARCH("BorderlineSmote",A90))),    "Oversampling",    IF(     OR(ISNUMBER(SEARCH("RandomUnderSampler",A90)),ISNUMBER(SEARCH("ClusterCentroids",A90)),ISNUMBER(SEARCH("OneSidedSelection",A90))),     "Undersampler",     "Czysty"    )   )  ) )</f>
        <v>Over+Under</v>
      </c>
      <c r="C90" s="1" t="s">
        <v>74</v>
      </c>
      <c r="D90" s="1" t="n">
        <v>0.4907</v>
      </c>
      <c r="E90" s="1" t="n">
        <v>0.4886</v>
      </c>
      <c r="F90" s="1" t="n">
        <v>0.5075</v>
      </c>
      <c r="G90" s="1" t="n">
        <v>0.5036</v>
      </c>
      <c r="I90" s="1"/>
      <c r="J90" s="1"/>
      <c r="L90" s="1"/>
      <c r="M90" s="1"/>
      <c r="N90" s="1"/>
    </row>
    <row r="91" customFormat="false" ht="13.8" hidden="false" customHeight="false" outlineLevel="0" collapsed="false">
      <c r="A91" s="1" t="s">
        <v>85</v>
      </c>
      <c r="B91" s="1" t="str">
        <f aca="false">IF(  OR(ISNUMBER(SEARCH("SMOTEENN",A91)),ISNUMBER(SEARCH("SMOTETomek",A91))),  "Hybrid",  IF(   AND(    OR(ISNUMBER(SEARCH("SMOTE",A91)),ISNUMBER(SEARCH("SVMSMOTE",A91)),ISNUMBER(SEARCH("RandomOverSampler",A91)),ISNUMBER(SEARCH("BorderlineSmote",A91))),    OR(ISNUMBER(SEARCH("RandomUnderSampler",A91)),ISNUMBER(SEARCH("ClusterCentroids",A91)),ISNUMBER(SEARCH("OneSidedSelection",A91)))   ),   "Over+Under",   IF(    OR(ISNUMBER(SEARCH("SMOTE",A91)),ISNUMBER(SEARCH("SVMSMOTE",A91)),ISNUMBER(SEARCH("RandomOverSampler",A91)),ISNUMBER(SEARCH("BorderlineSmote",A91))),    "Oversampling",    IF(     OR(ISNUMBER(SEARCH("RandomUnderSampler",A91)),ISNUMBER(SEARCH("ClusterCentroids",A91)),ISNUMBER(SEARCH("OneSidedSelection",A91))),     "Undersampler",     "Czysty"    )   )  ) )</f>
        <v>Over+Under</v>
      </c>
      <c r="C91" s="1" t="s">
        <v>74</v>
      </c>
      <c r="D91" s="1" t="n">
        <v>0.4907</v>
      </c>
      <c r="E91" s="1" t="n">
        <v>0.4883</v>
      </c>
      <c r="F91" s="1" t="n">
        <v>0.5067</v>
      </c>
      <c r="G91" s="1" t="n">
        <v>0.5117</v>
      </c>
      <c r="I91" s="1"/>
      <c r="J91" s="1"/>
      <c r="L91" s="1"/>
      <c r="M91" s="1"/>
      <c r="N91" s="1"/>
    </row>
    <row r="92" customFormat="false" ht="13.8" hidden="false" customHeight="false" outlineLevel="0" collapsed="false">
      <c r="A92" s="1" t="s">
        <v>86</v>
      </c>
      <c r="B92" s="1" t="str">
        <f aca="false">IF(  OR(ISNUMBER(SEARCH("SMOTEENN",A92)),ISNUMBER(SEARCH("SMOTETomek",A92))),  "Hybrid",  IF(   AND(    OR(ISNUMBER(SEARCH("SMOTE",A92)),ISNUMBER(SEARCH("SVMSMOTE",A92)),ISNUMBER(SEARCH("RandomOverSampler",A92)),ISNUMBER(SEARCH("BorderlineSmote",A92))),    OR(ISNUMBER(SEARCH("RandomUnderSampler",A92)),ISNUMBER(SEARCH("ClusterCentroids",A92)),ISNUMBER(SEARCH("OneSidedSelection",A92)))   ),   "Over+Under",   IF(    OR(ISNUMBER(SEARCH("SMOTE",A92)),ISNUMBER(SEARCH("SVMSMOTE",A92)),ISNUMBER(SEARCH("RandomOverSampler",A92)),ISNUMBER(SEARCH("BorderlineSmote",A92))),    "Oversampling",    IF(     OR(ISNUMBER(SEARCH("RandomUnderSampler",A92)),ISNUMBER(SEARCH("ClusterCentroids",A92)),ISNUMBER(SEARCH("OneSidedSelection",A92))),     "Undersampler",     "Czysty"    )   )  ) )</f>
        <v>Over+Under</v>
      </c>
      <c r="C92" s="1" t="s">
        <v>74</v>
      </c>
      <c r="D92" s="1" t="n">
        <v>0.4944</v>
      </c>
      <c r="E92" s="1" t="n">
        <v>0.4879</v>
      </c>
      <c r="F92" s="1" t="n">
        <v>0.4999</v>
      </c>
      <c r="G92" s="1" t="n">
        <v>0.5201</v>
      </c>
      <c r="I92" s="1"/>
      <c r="J92" s="1"/>
      <c r="L92" s="1"/>
      <c r="M92" s="1"/>
      <c r="N92" s="1"/>
    </row>
    <row r="93" customFormat="false" ht="13.8" hidden="false" customHeight="false" outlineLevel="0" collapsed="false">
      <c r="A93" s="1" t="s">
        <v>124</v>
      </c>
      <c r="B93" s="1" t="str">
        <f aca="false">IF(  OR(ISNUMBER(SEARCH("SMOTEENN",A93)),ISNUMBER(SEARCH("SMOTETomek",A93))),  "Hybrid",  IF(   AND(    OR(ISNUMBER(SEARCH("SMOTE",A93)),ISNUMBER(SEARCH("SVMSMOTE",A93)),ISNUMBER(SEARCH("RandomOverSampler",A93)),ISNUMBER(SEARCH("BorderlineSmote",A93))),    OR(ISNUMBER(SEARCH("RandomUnderSampler",A93)),ISNUMBER(SEARCH("ClusterCentroids",A93)),ISNUMBER(SEARCH("OneSidedSelection",A93)))   ),   "Over+Under",   IF(    OR(ISNUMBER(SEARCH("SMOTE",A93)),ISNUMBER(SEARCH("SVMSMOTE",A93)),ISNUMBER(SEARCH("RandomOverSampler",A93)),ISNUMBER(SEARCH("BorderlineSmote",A93))),    "Oversampling",    IF(     OR(ISNUMBER(SEARCH("RandomUnderSampler",A93)),ISNUMBER(SEARCH("ClusterCentroids",A93)),ISNUMBER(SEARCH("OneSidedSelection",A93))),     "Undersampler",     "Czysty"    )   )  ) )</f>
        <v>Over+Under</v>
      </c>
      <c r="C93" s="1" t="s">
        <v>74</v>
      </c>
      <c r="D93" s="1" t="n">
        <v>0.4907</v>
      </c>
      <c r="E93" s="1" t="n">
        <v>0.4732</v>
      </c>
      <c r="F93" s="1" t="n">
        <v>0.5047</v>
      </c>
      <c r="G93" s="1" t="n">
        <v>0.4769</v>
      </c>
      <c r="I93" s="1"/>
      <c r="J93" s="1"/>
      <c r="L93" s="1"/>
      <c r="M93" s="1"/>
      <c r="N93" s="1"/>
    </row>
    <row r="94" customFormat="false" ht="13.8" hidden="false" customHeight="false" outlineLevel="0" collapsed="false">
      <c r="A94" s="1" t="s">
        <v>83</v>
      </c>
      <c r="B94" s="1" t="str">
        <f aca="false">IF(  OR(ISNUMBER(SEARCH("SMOTEENN",A94)),ISNUMBER(SEARCH("SMOTETomek",A94))),  "Hybrid",  IF(   AND(    OR(ISNUMBER(SEARCH("SMOTE",A94)),ISNUMBER(SEARCH("SVMSMOTE",A94)),ISNUMBER(SEARCH("RandomOverSampler",A94)),ISNUMBER(SEARCH("BorderlineSmote",A94))),    OR(ISNUMBER(SEARCH("RandomUnderSampler",A94)),ISNUMBER(SEARCH("ClusterCentroids",A94)),ISNUMBER(SEARCH("OneSidedSelection",A94)))   ),   "Over+Under",   IF(    OR(ISNUMBER(SEARCH("SMOTE",A94)),ISNUMBER(SEARCH("SVMSMOTE",A94)),ISNUMBER(SEARCH("RandomOverSampler",A94)),ISNUMBER(SEARCH("BorderlineSmote",A94))),    "Oversampling",    IF(     OR(ISNUMBER(SEARCH("RandomUnderSampler",A94)),ISNUMBER(SEARCH("ClusterCentroids",A94)),ISNUMBER(SEARCH("OneSidedSelection",A94))),     "Undersampler",     "Czysty"    )   )  ) )</f>
        <v>Over+Under</v>
      </c>
      <c r="C94" s="1" t="s">
        <v>74</v>
      </c>
      <c r="D94" s="1" t="n">
        <v>0.4741</v>
      </c>
      <c r="E94" s="1" t="n">
        <v>0.4594</v>
      </c>
      <c r="F94" s="1" t="n">
        <v>0.4697</v>
      </c>
      <c r="G94" s="1" t="n">
        <v>0.4742</v>
      </c>
      <c r="I94" s="1"/>
      <c r="J94" s="1"/>
      <c r="L94" s="1"/>
      <c r="M94" s="1"/>
      <c r="N94" s="1"/>
    </row>
    <row r="95" customFormat="false" ht="13.8" hidden="false" customHeight="false" outlineLevel="0" collapsed="false">
      <c r="A95" s="1" t="s">
        <v>87</v>
      </c>
      <c r="B95" s="1" t="str">
        <f aca="false">IF(  OR(ISNUMBER(SEARCH("SMOTEENN",A95)),ISNUMBER(SEARCH("SMOTETomek",A95))),  "Hybrid",  IF(   AND(    OR(ISNUMBER(SEARCH("SMOTE",A95)),ISNUMBER(SEARCH("SVMSMOTE",A95)),ISNUMBER(SEARCH("RandomOverSampler",A95)),ISNUMBER(SEARCH("BorderlineSmote",A95))),    OR(ISNUMBER(SEARCH("RandomUnderSampler",A95)),ISNUMBER(SEARCH("ClusterCentroids",A95)),ISNUMBER(SEARCH("OneSidedSelection",A95)))   ),   "Over+Under",   IF(    OR(ISNUMBER(SEARCH("SMOTE",A95)),ISNUMBER(SEARCH("SVMSMOTE",A95)),ISNUMBER(SEARCH("RandomOverSampler",A95)),ISNUMBER(SEARCH("BorderlineSmote",A95))),    "Oversampling",    IF(     OR(ISNUMBER(SEARCH("RandomUnderSampler",A95)),ISNUMBER(SEARCH("ClusterCentroids",A95)),ISNUMBER(SEARCH("OneSidedSelection",A95))),     "Undersampler",     "Czysty"    )   )  ) )</f>
        <v>Hybrid</v>
      </c>
      <c r="C95" s="1" t="s">
        <v>74</v>
      </c>
      <c r="D95" s="1" t="n">
        <v>0.4278</v>
      </c>
      <c r="E95" s="1" t="n">
        <v>0.4423</v>
      </c>
      <c r="F95" s="1" t="n">
        <v>0.4498</v>
      </c>
      <c r="G95" s="1" t="n">
        <v>0.536</v>
      </c>
      <c r="I95" s="1"/>
      <c r="J95" s="1"/>
      <c r="L95" s="1"/>
      <c r="M95" s="1"/>
      <c r="N95" s="1"/>
    </row>
    <row r="96" customFormat="false" ht="13.8" hidden="false" customHeight="false" outlineLevel="0" collapsed="false">
      <c r="A96" s="1" t="s">
        <v>88</v>
      </c>
      <c r="B96" s="1" t="str">
        <f aca="false">IF(  OR(ISNUMBER(SEARCH("SMOTEENN",A96)),ISNUMBER(SEARCH("SMOTETomek",A96))),  "Hybrid",  IF(   AND(    OR(ISNUMBER(SEARCH("SMOTE",A96)),ISNUMBER(SEARCH("SVMSMOTE",A96)),ISNUMBER(SEARCH("RandomOverSampler",A96)),ISNUMBER(SEARCH("BorderlineSmote",A96))),    OR(ISNUMBER(SEARCH("RandomUnderSampler",A96)),ISNUMBER(SEARCH("ClusterCentroids",A96)),ISNUMBER(SEARCH("OneSidedSelection",A96)))   ),   "Over+Under",   IF(    OR(ISNUMBER(SEARCH("SMOTE",A96)),ISNUMBER(SEARCH("SVMSMOTE",A96)),ISNUMBER(SEARCH("RandomOverSampler",A96)),ISNUMBER(SEARCH("BorderlineSmote",A96))),    "Oversampling",    IF(     OR(ISNUMBER(SEARCH("RandomUnderSampler",A96)),ISNUMBER(SEARCH("ClusterCentroids",A96)),ISNUMBER(SEARCH("OneSidedSelection",A96))),     "Undersampler",     "Czysty"    )   )  ) )</f>
        <v>Over+Under</v>
      </c>
      <c r="C96" s="1" t="s">
        <v>74</v>
      </c>
      <c r="D96" s="1" t="n">
        <v>0.4204</v>
      </c>
      <c r="E96" s="1" t="n">
        <v>0.4294</v>
      </c>
      <c r="F96" s="1" t="n">
        <v>0.4565</v>
      </c>
      <c r="G96" s="1" t="n">
        <v>0.4601</v>
      </c>
      <c r="I96" s="1"/>
      <c r="J96" s="1"/>
      <c r="L96" s="1"/>
      <c r="M96" s="1"/>
      <c r="N96" s="1"/>
    </row>
    <row r="97" customFormat="false" ht="13.8" hidden="false" customHeight="false" outlineLevel="0" collapsed="false">
      <c r="A97" s="1" t="s">
        <v>84</v>
      </c>
      <c r="B97" s="1" t="str">
        <f aca="false">IF(  OR(ISNUMBER(SEARCH("SMOTEENN",A97)),ISNUMBER(SEARCH("SMOTETomek",A97))),  "Hybrid",  IF(   AND(    OR(ISNUMBER(SEARCH("SMOTE",A97)),ISNUMBER(SEARCH("SVMSMOTE",A97)),ISNUMBER(SEARCH("RandomOverSampler",A97)),ISNUMBER(SEARCH("BorderlineSmote",A97))),    OR(ISNUMBER(SEARCH("RandomUnderSampler",A97)),ISNUMBER(SEARCH("ClusterCentroids",A97)),ISNUMBER(SEARCH("OneSidedSelection",A97)))   ),   "Over+Under",   IF(    OR(ISNUMBER(SEARCH("SMOTE",A97)),ISNUMBER(SEARCH("SVMSMOTE",A97)),ISNUMBER(SEARCH("RandomOverSampler",A97)),ISNUMBER(SEARCH("BorderlineSmote",A97))),    "Oversampling",    IF(     OR(ISNUMBER(SEARCH("RandomUnderSampler",A97)),ISNUMBER(SEARCH("ClusterCentroids",A97)),ISNUMBER(SEARCH("OneSidedSelection",A97))),     "Undersampler",     "Czysty"    )   )  ) )</f>
        <v>Over+Under</v>
      </c>
      <c r="C97" s="1" t="s">
        <v>74</v>
      </c>
      <c r="D97" s="1" t="n">
        <v>0.3852</v>
      </c>
      <c r="E97" s="1" t="n">
        <v>0.3824</v>
      </c>
      <c r="F97" s="1" t="n">
        <v>0.3899</v>
      </c>
      <c r="G97" s="1" t="n">
        <v>0.4351</v>
      </c>
      <c r="I97" s="1"/>
      <c r="J97" s="1"/>
      <c r="L97" s="1"/>
      <c r="M97" s="1"/>
      <c r="N97" s="1"/>
    </row>
    <row r="99" customFormat="false" ht="13.8" hidden="false" customHeight="false" outlineLevel="0" collapsed="false">
      <c r="A99" s="2" t="s">
        <v>26</v>
      </c>
      <c r="B99" s="2"/>
      <c r="C99" s="2"/>
      <c r="D99" s="2"/>
      <c r="E99" s="2"/>
      <c r="F99" s="2"/>
      <c r="G99" s="2"/>
    </row>
    <row r="100" customFormat="false" ht="13.8" hidden="false" customHeight="false" outlineLevel="0" collapsed="false">
      <c r="A100" s="1" t="s">
        <v>123</v>
      </c>
      <c r="B100" s="1" t="str">
        <f aca="false">IF(  OR(ISNUMBER(SEARCH("SMOTEENN",A100)),ISNUMBER(SEARCH("SMOTETomek",A100))),  "Hybrid",  IF(   AND(    OR(ISNUMBER(SEARCH("SMOTE",A100)),ISNUMBER(SEARCH("SVMSMOTE",A100)),ISNUMBER(SEARCH("RandomOverSampler",A100)),ISNUMBER(SEARCH("BorderlineSmote",A100))),    OR(ISNUMBER(SEARCH("RandomUnderSampler",A100)),ISNUMBER(SEARCH("ClusterCentroids",A100)),ISNUMBER(SEARCH("OneSidedSelection",A100)))   ),   "Over+Under",   IF(    OR(ISNUMBER(SEARCH("SMOTE",A100)),ISNUMBER(SEARCH("SVMSMOTE",A100)),ISNUMBER(SEARCH("RandomOverSampler",A100)),ISNUMBER(SEARCH("BorderlineSmote",A100))),    "Oversampling",    IF(     OR(ISNUMBER(SEARCH("RandomUnderSampler",A100)),ISNUMBER(SEARCH("ClusterCentroids",A100)),ISNUMBER(SEARCH("OneSidedSelection",A100))),     "Undersampler",     "Czysty"    )   )  ) )</f>
        <v>Oversampling</v>
      </c>
      <c r="C100" s="1" t="s">
        <v>14</v>
      </c>
      <c r="D100" s="1" t="n">
        <v>0.6278</v>
      </c>
      <c r="E100" s="1" t="n">
        <v>0.5797</v>
      </c>
      <c r="F100" s="1" t="n">
        <v>0.6142</v>
      </c>
      <c r="G100" s="1" t="n">
        <v>0.5926</v>
      </c>
      <c r="I100" s="1"/>
      <c r="J100" s="1"/>
      <c r="L100" s="1"/>
      <c r="M100" s="1"/>
      <c r="N100" s="1"/>
    </row>
    <row r="101" customFormat="false" ht="13.8" hidden="false" customHeight="false" outlineLevel="0" collapsed="false">
      <c r="A101" s="1" t="s">
        <v>79</v>
      </c>
      <c r="B101" s="1" t="str">
        <f aca="false">IF(  OR(ISNUMBER(SEARCH("SMOTEENN",A101)),ISNUMBER(SEARCH("SMOTETomek",A101))),  "Hybrid",  IF(   AND(    OR(ISNUMBER(SEARCH("SMOTE",A101)),ISNUMBER(SEARCH("SVMSMOTE",A101)),ISNUMBER(SEARCH("RandomOverSampler",A101)),ISNUMBER(SEARCH("BorderlineSmote",A101))),    OR(ISNUMBER(SEARCH("RandomUnderSampler",A101)),ISNUMBER(SEARCH("ClusterCentroids",A101)),ISNUMBER(SEARCH("OneSidedSelection",A101)))   ),   "Over+Under",   IF(    OR(ISNUMBER(SEARCH("SMOTE",A101)),ISNUMBER(SEARCH("SVMSMOTE",A101)),ISNUMBER(SEARCH("RandomOverSampler",A101)),ISNUMBER(SEARCH("BorderlineSmote",A101))),    "Oversampling",    IF(     OR(ISNUMBER(SEARCH("RandomUnderSampler",A101)),ISNUMBER(SEARCH("ClusterCentroids",A101)),ISNUMBER(SEARCH("OneSidedSelection",A101))),     "Undersampler",     "Czysty"    )   )  ) )</f>
        <v>Oversampling</v>
      </c>
      <c r="C101" s="1" t="s">
        <v>14</v>
      </c>
      <c r="D101" s="1" t="n">
        <v>0.6333</v>
      </c>
      <c r="E101" s="1" t="n">
        <v>0.5643</v>
      </c>
      <c r="F101" s="1" t="n">
        <v>0.6242</v>
      </c>
      <c r="G101" s="1" t="n">
        <v>0.5536</v>
      </c>
      <c r="I101" s="1"/>
      <c r="J101" s="1"/>
      <c r="L101" s="1"/>
      <c r="M101" s="1"/>
      <c r="N101" s="1"/>
    </row>
    <row r="102" customFormat="false" ht="13.8" hidden="false" customHeight="false" outlineLevel="0" collapsed="false">
      <c r="A102" s="1" t="s">
        <v>80</v>
      </c>
      <c r="B102" s="1" t="str">
        <f aca="false">IF(  OR(ISNUMBER(SEARCH("SMOTEENN",A102)),ISNUMBER(SEARCH("SMOTETomek",A102))),  "Hybrid",  IF(   AND(    OR(ISNUMBER(SEARCH("SMOTE",A102)),ISNUMBER(SEARCH("SVMSMOTE",A102)),ISNUMBER(SEARCH("RandomOverSampler",A102)),ISNUMBER(SEARCH("BorderlineSmote",A102))),    OR(ISNUMBER(SEARCH("RandomUnderSampler",A102)),ISNUMBER(SEARCH("ClusterCentroids",A102)),ISNUMBER(SEARCH("OneSidedSelection",A102)))   ),   "Over+Under",   IF(    OR(ISNUMBER(SEARCH("SMOTE",A102)),ISNUMBER(SEARCH("SVMSMOTE",A102)),ISNUMBER(SEARCH("RandomOverSampler",A102)),ISNUMBER(SEARCH("BorderlineSmote",A102))),    "Oversampling",    IF(     OR(ISNUMBER(SEARCH("RandomUnderSampler",A102)),ISNUMBER(SEARCH("ClusterCentroids",A102)),ISNUMBER(SEARCH("OneSidedSelection",A102))),     "Undersampler",     "Czysty"    )   )  ) )</f>
        <v>Hybrid</v>
      </c>
      <c r="C102" s="1" t="s">
        <v>14</v>
      </c>
      <c r="D102" s="1" t="n">
        <v>0.587</v>
      </c>
      <c r="E102" s="1" t="n">
        <v>0.5404</v>
      </c>
      <c r="F102" s="1" t="n">
        <v>0.5804</v>
      </c>
      <c r="G102" s="1" t="n">
        <v>0.5471</v>
      </c>
      <c r="I102" s="1"/>
      <c r="J102" s="1"/>
      <c r="L102" s="1"/>
      <c r="M102" s="1"/>
      <c r="N102" s="1"/>
    </row>
    <row r="103" customFormat="false" ht="13.8" hidden="false" customHeight="false" outlineLevel="0" collapsed="false">
      <c r="A103" s="1" t="s">
        <v>126</v>
      </c>
      <c r="B103" s="1" t="str">
        <f aca="false">IF(  OR(ISNUMBER(SEARCH("SMOTEENN",A103)),ISNUMBER(SEARCH("SMOTETomek",A103))),  "Hybrid",  IF(   AND(    OR(ISNUMBER(SEARCH("SMOTE",A103)),ISNUMBER(SEARCH("SVMSMOTE",A103)),ISNUMBER(SEARCH("RandomOverSampler",A103)),ISNUMBER(SEARCH("BorderlineSmote",A103))),    OR(ISNUMBER(SEARCH("RandomUnderSampler",A103)),ISNUMBER(SEARCH("ClusterCentroids",A103)),ISNUMBER(SEARCH("OneSidedSelection",A103)))   ),   "Over+Under",   IF(    OR(ISNUMBER(SEARCH("SMOTE",A103)),ISNUMBER(SEARCH("SVMSMOTE",A103)),ISNUMBER(SEARCH("RandomOverSampler",A103)),ISNUMBER(SEARCH("BorderlineSmote",A103))),    "Oversampling",    IF(     OR(ISNUMBER(SEARCH("RandomUnderSampler",A103)),ISNUMBER(SEARCH("ClusterCentroids",A103)),ISNUMBER(SEARCH("OneSidedSelection",A103))),     "Undersampler",     "Czysty"    )   )  ) )</f>
        <v>Oversampling</v>
      </c>
      <c r="C103" s="1" t="s">
        <v>14</v>
      </c>
      <c r="D103" s="1" t="n">
        <v>0.587</v>
      </c>
      <c r="E103" s="1" t="n">
        <v>0.516</v>
      </c>
      <c r="F103" s="1" t="n">
        <v>0.5687</v>
      </c>
      <c r="G103" s="1" t="n">
        <v>0.5076</v>
      </c>
      <c r="I103" s="1"/>
      <c r="J103" s="1"/>
      <c r="L103" s="1"/>
      <c r="M103" s="1"/>
      <c r="N103" s="1"/>
    </row>
    <row r="104" customFormat="false" ht="13.8" hidden="false" customHeight="false" outlineLevel="0" collapsed="false">
      <c r="A104" s="1" t="s">
        <v>81</v>
      </c>
      <c r="B104" s="1" t="str">
        <f aca="false">IF(  OR(ISNUMBER(SEARCH("SMOTEENN",A104)),ISNUMBER(SEARCH("SMOTETomek",A104))),  "Hybrid",  IF(   AND(    OR(ISNUMBER(SEARCH("SMOTE",A104)),ISNUMBER(SEARCH("SVMSMOTE",A104)),ISNUMBER(SEARCH("RandomOverSampler",A104)),ISNUMBER(SEARCH("BorderlineSmote",A104))),    OR(ISNUMBER(SEARCH("RandomUnderSampler",A104)),ISNUMBER(SEARCH("ClusterCentroids",A104)),ISNUMBER(SEARCH("OneSidedSelection",A104)))   ),   "Over+Under",   IF(    OR(ISNUMBER(SEARCH("SMOTE",A104)),ISNUMBER(SEARCH("SVMSMOTE",A104)),ISNUMBER(SEARCH("RandomOverSampler",A104)),ISNUMBER(SEARCH("BorderlineSmote",A104))),    "Oversampling",    IF(     OR(ISNUMBER(SEARCH("RandomUnderSampler",A104)),ISNUMBER(SEARCH("ClusterCentroids",A104)),ISNUMBER(SEARCH("OneSidedSelection",A104))),     "Undersampler",     "Czysty"    )   )  ) )</f>
        <v>Oversampling</v>
      </c>
      <c r="C104" s="1" t="s">
        <v>14</v>
      </c>
      <c r="D104" s="1" t="n">
        <v>0.5796</v>
      </c>
      <c r="E104" s="1" t="n">
        <v>0.5099</v>
      </c>
      <c r="F104" s="1" t="n">
        <v>0.5881</v>
      </c>
      <c r="G104" s="1" t="n">
        <v>0.5188</v>
      </c>
      <c r="I104" s="1"/>
      <c r="J104" s="1"/>
      <c r="L104" s="1"/>
      <c r="M104" s="1"/>
      <c r="N104" s="1"/>
    </row>
    <row r="105" customFormat="false" ht="13.8" hidden="false" customHeight="false" outlineLevel="0" collapsed="false">
      <c r="A105" s="1" t="s">
        <v>26</v>
      </c>
      <c r="B105" s="1" t="str">
        <f aca="false">IF(  OR(ISNUMBER(SEARCH("SMOTEENN",A105)),ISNUMBER(SEARCH("SMOTETomek",A105))),  "Hybrid",  IF(   AND(    OR(ISNUMBER(SEARCH("SMOTE",A105)),ISNUMBER(SEARCH("SVMSMOTE",A105)),ISNUMBER(SEARCH("RandomOverSampler",A105)),ISNUMBER(SEARCH("BorderlineSmote",A105))),    OR(ISNUMBER(SEARCH("RandomUnderSampler",A105)),ISNUMBER(SEARCH("ClusterCentroids",A105)),ISNUMBER(SEARCH("OneSidedSelection",A105)))   ),   "Over+Under",   IF(    OR(ISNUMBER(SEARCH("SMOTE",A105)),ISNUMBER(SEARCH("SVMSMOTE",A105)),ISNUMBER(SEARCH("RandomOverSampler",A105)),ISNUMBER(SEARCH("BorderlineSmote",A105))),    "Oversampling",    IF(     OR(ISNUMBER(SEARCH("RandomUnderSampler",A105)),ISNUMBER(SEARCH("ClusterCentroids",A105)),ISNUMBER(SEARCH("OneSidedSelection",A105))),     "Undersampler",     "Czysty"    )   )  ) )</f>
        <v>Czysty</v>
      </c>
      <c r="C105" s="1" t="s">
        <v>14</v>
      </c>
      <c r="D105" s="1" t="n">
        <v>0.5889</v>
      </c>
      <c r="E105" s="1" t="n">
        <v>0.5051</v>
      </c>
      <c r="F105" s="1" t="n">
        <v>0.6051</v>
      </c>
      <c r="G105" s="1" t="n">
        <v>0.4908</v>
      </c>
      <c r="I105" s="1"/>
      <c r="J105" s="1"/>
      <c r="L105" s="1"/>
      <c r="M105" s="1"/>
      <c r="N105" s="1"/>
    </row>
    <row r="106" customFormat="false" ht="13.8" hidden="false" customHeight="false" outlineLevel="0" collapsed="false">
      <c r="A106" s="1" t="s">
        <v>84</v>
      </c>
      <c r="B106" s="1" t="str">
        <f aca="false">IF(  OR(ISNUMBER(SEARCH("SMOTEENN",A106)),ISNUMBER(SEARCH("SMOTETomek",A106))),  "Hybrid",  IF(   AND(    OR(ISNUMBER(SEARCH("SMOTE",A106)),ISNUMBER(SEARCH("SVMSMOTE",A106)),ISNUMBER(SEARCH("RandomOverSampler",A106)),ISNUMBER(SEARCH("BorderlineSmote",A106))),    OR(ISNUMBER(SEARCH("RandomUnderSampler",A106)),ISNUMBER(SEARCH("ClusterCentroids",A106)),ISNUMBER(SEARCH("OneSidedSelection",A106)))   ),   "Over+Under",   IF(    OR(ISNUMBER(SEARCH("SMOTE",A106)),ISNUMBER(SEARCH("SVMSMOTE",A106)),ISNUMBER(SEARCH("RandomOverSampler",A106)),ISNUMBER(SEARCH("BorderlineSmote",A106))),    "Oversampling",    IF(     OR(ISNUMBER(SEARCH("RandomUnderSampler",A106)),ISNUMBER(SEARCH("ClusterCentroids",A106)),ISNUMBER(SEARCH("OneSidedSelection",A106))),     "Undersampler",     "Czysty"    )   )  ) )</f>
        <v>Over+Under</v>
      </c>
      <c r="C106" s="1" t="s">
        <v>14</v>
      </c>
      <c r="D106" s="1" t="n">
        <v>0.4204</v>
      </c>
      <c r="E106" s="1" t="n">
        <v>0.3597</v>
      </c>
      <c r="F106" s="1" t="n">
        <v>0.4318</v>
      </c>
      <c r="G106" s="1" t="n">
        <v>0.3977</v>
      </c>
      <c r="I106" s="1"/>
      <c r="J106" s="1"/>
      <c r="L106" s="1"/>
      <c r="M106" s="1"/>
      <c r="N106" s="1"/>
    </row>
    <row r="107" customFormat="false" ht="13.8" hidden="false" customHeight="false" outlineLevel="0" collapsed="false">
      <c r="A107" s="1" t="s">
        <v>83</v>
      </c>
      <c r="B107" s="1" t="str">
        <f aca="false">IF(  OR(ISNUMBER(SEARCH("SMOTEENN",A107)),ISNUMBER(SEARCH("SMOTETomek",A107))),  "Hybrid",  IF(   AND(    OR(ISNUMBER(SEARCH("SMOTE",A107)),ISNUMBER(SEARCH("SVMSMOTE",A107)),ISNUMBER(SEARCH("RandomOverSampler",A107)),ISNUMBER(SEARCH("BorderlineSmote",A107))),    OR(ISNUMBER(SEARCH("RandomUnderSampler",A107)),ISNUMBER(SEARCH("ClusterCentroids",A107)),ISNUMBER(SEARCH("OneSidedSelection",A107)))   ),   "Over+Under",   IF(    OR(ISNUMBER(SEARCH("SMOTE",A107)),ISNUMBER(SEARCH("SVMSMOTE",A107)),ISNUMBER(SEARCH("RandomOverSampler",A107)),ISNUMBER(SEARCH("BorderlineSmote",A107))),    "Oversampling",    IF(     OR(ISNUMBER(SEARCH("RandomUnderSampler",A107)),ISNUMBER(SEARCH("ClusterCentroids",A107)),ISNUMBER(SEARCH("OneSidedSelection",A107))),     "Undersampler",     "Czysty"    )   )  ) )</f>
        <v>Over+Under</v>
      </c>
      <c r="C107" s="1" t="s">
        <v>14</v>
      </c>
      <c r="D107" s="1" t="n">
        <v>0.313</v>
      </c>
      <c r="E107" s="1" t="n">
        <v>0.348</v>
      </c>
      <c r="F107" s="1" t="n">
        <v>0.4609</v>
      </c>
      <c r="G107" s="1" t="n">
        <v>0.4309</v>
      </c>
      <c r="I107" s="1"/>
      <c r="J107" s="1"/>
      <c r="L107" s="1"/>
      <c r="M107" s="1"/>
      <c r="N107" s="1"/>
    </row>
    <row r="108" customFormat="false" ht="13.8" hidden="false" customHeight="false" outlineLevel="0" collapsed="false">
      <c r="A108" s="1" t="s">
        <v>88</v>
      </c>
      <c r="B108" s="1" t="str">
        <f aca="false">IF(  OR(ISNUMBER(SEARCH("SMOTEENN",A108)),ISNUMBER(SEARCH("SMOTETomek",A108))),  "Hybrid",  IF(   AND(    OR(ISNUMBER(SEARCH("SMOTE",A108)),ISNUMBER(SEARCH("SVMSMOTE",A108)),ISNUMBER(SEARCH("RandomOverSampler",A108)),ISNUMBER(SEARCH("BorderlineSmote",A108))),    OR(ISNUMBER(SEARCH("RandomUnderSampler",A108)),ISNUMBER(SEARCH("ClusterCentroids",A108)),ISNUMBER(SEARCH("OneSidedSelection",A108)))   ),   "Over+Under",   IF(    OR(ISNUMBER(SEARCH("SMOTE",A108)),ISNUMBER(SEARCH("SVMSMOTE",A108)),ISNUMBER(SEARCH("RandomOverSampler",A108)),ISNUMBER(SEARCH("BorderlineSmote",A108))),    "Oversampling",    IF(     OR(ISNUMBER(SEARCH("RandomUnderSampler",A108)),ISNUMBER(SEARCH("ClusterCentroids",A108)),ISNUMBER(SEARCH("OneSidedSelection",A108))),     "Undersampler",     "Czysty"    )   )  ) )</f>
        <v>Over+Under</v>
      </c>
      <c r="C108" s="1" t="s">
        <v>14</v>
      </c>
      <c r="D108" s="1" t="n">
        <v>0.3889</v>
      </c>
      <c r="E108" s="1" t="n">
        <v>0.346</v>
      </c>
      <c r="F108" s="1" t="n">
        <v>0.363</v>
      </c>
      <c r="G108" s="1" t="n">
        <v>0.4067</v>
      </c>
      <c r="I108" s="1"/>
      <c r="J108" s="1"/>
      <c r="L108" s="1"/>
      <c r="M108" s="1"/>
      <c r="N108" s="1"/>
    </row>
    <row r="109" customFormat="false" ht="13.8" hidden="false" customHeight="false" outlineLevel="0" collapsed="false">
      <c r="A109" s="1" t="s">
        <v>125</v>
      </c>
      <c r="B109" s="1" t="str">
        <f aca="false">IF(  OR(ISNUMBER(SEARCH("SMOTEENN",A109)),ISNUMBER(SEARCH("SMOTETomek",A109))),  "Hybrid",  IF(   AND(    OR(ISNUMBER(SEARCH("SMOTE",A109)),ISNUMBER(SEARCH("SVMSMOTE",A109)),ISNUMBER(SEARCH("RandomOverSampler",A109)),ISNUMBER(SEARCH("BorderlineSmote",A109))),    OR(ISNUMBER(SEARCH("RandomUnderSampler",A109)),ISNUMBER(SEARCH("ClusterCentroids",A109)),ISNUMBER(SEARCH("OneSidedSelection",A109)))   ),   "Over+Under",   IF(    OR(ISNUMBER(SEARCH("SMOTE",A109)),ISNUMBER(SEARCH("SVMSMOTE",A109)),ISNUMBER(SEARCH("RandomOverSampler",A109)),ISNUMBER(SEARCH("BorderlineSmote",A109))),    "Oversampling",    IF(     OR(ISNUMBER(SEARCH("RandomUnderSampler",A109)),ISNUMBER(SEARCH("ClusterCentroids",A109)),ISNUMBER(SEARCH("OneSidedSelection",A109))),     "Undersampler",     "Czysty"    )   )  ) )</f>
        <v>Over+Under</v>
      </c>
      <c r="C109" s="1" t="s">
        <v>14</v>
      </c>
      <c r="D109" s="1" t="n">
        <v>0.3167</v>
      </c>
      <c r="E109" s="1" t="n">
        <v>0.3439</v>
      </c>
      <c r="F109" s="1" t="n">
        <v>0.4976</v>
      </c>
      <c r="G109" s="1" t="n">
        <v>0.4067</v>
      </c>
      <c r="I109" s="1"/>
      <c r="J109" s="1"/>
      <c r="L109" s="1"/>
      <c r="M109" s="1"/>
      <c r="N109" s="1"/>
    </row>
    <row r="110" customFormat="false" ht="13.8" hidden="false" customHeight="false" outlineLevel="0" collapsed="false">
      <c r="A110" s="1" t="s">
        <v>87</v>
      </c>
      <c r="B110" s="1" t="str">
        <f aca="false">IF(  OR(ISNUMBER(SEARCH("SMOTEENN",A110)),ISNUMBER(SEARCH("SMOTETomek",A110))),  "Hybrid",  IF(   AND(    OR(ISNUMBER(SEARCH("SMOTE",A110)),ISNUMBER(SEARCH("SVMSMOTE",A110)),ISNUMBER(SEARCH("RandomOverSampler",A110)),ISNUMBER(SEARCH("BorderlineSmote",A110))),    OR(ISNUMBER(SEARCH("RandomUnderSampler",A110)),ISNUMBER(SEARCH("ClusterCentroids",A110)),ISNUMBER(SEARCH("OneSidedSelection",A110)))   ),   "Over+Under",   IF(    OR(ISNUMBER(SEARCH("SMOTE",A110)),ISNUMBER(SEARCH("SVMSMOTE",A110)),ISNUMBER(SEARCH("RandomOverSampler",A110)),ISNUMBER(SEARCH("BorderlineSmote",A110))),    "Oversampling",    IF(     OR(ISNUMBER(SEARCH("RandomUnderSampler",A110)),ISNUMBER(SEARCH("ClusterCentroids",A110)),ISNUMBER(SEARCH("OneSidedSelection",A110))),     "Undersampler",     "Czysty"    )   )  ) )</f>
        <v>Hybrid</v>
      </c>
      <c r="C110" s="1" t="s">
        <v>14</v>
      </c>
      <c r="D110" s="1" t="n">
        <v>0.3278</v>
      </c>
      <c r="E110" s="1" t="n">
        <v>0.3411</v>
      </c>
      <c r="F110" s="1" t="n">
        <v>0.4232</v>
      </c>
      <c r="G110" s="1" t="n">
        <v>0.4281</v>
      </c>
      <c r="I110" s="1"/>
      <c r="J110" s="1"/>
      <c r="L110" s="1"/>
      <c r="M110" s="1"/>
      <c r="N110" s="1"/>
    </row>
    <row r="111" customFormat="false" ht="13.8" hidden="false" customHeight="false" outlineLevel="0" collapsed="false">
      <c r="A111" s="1" t="s">
        <v>124</v>
      </c>
      <c r="B111" s="1" t="str">
        <f aca="false">IF(  OR(ISNUMBER(SEARCH("SMOTEENN",A111)),ISNUMBER(SEARCH("SMOTETomek",A111))),  "Hybrid",  IF(   AND(    OR(ISNUMBER(SEARCH("SMOTE",A111)),ISNUMBER(SEARCH("SVMSMOTE",A111)),ISNUMBER(SEARCH("RandomOverSampler",A111)),ISNUMBER(SEARCH("BorderlineSmote",A111))),    OR(ISNUMBER(SEARCH("RandomUnderSampler",A111)),ISNUMBER(SEARCH("ClusterCentroids",A111)),ISNUMBER(SEARCH("OneSidedSelection",A111)))   ),   "Over+Under",   IF(    OR(ISNUMBER(SEARCH("SMOTE",A111)),ISNUMBER(SEARCH("SVMSMOTE",A111)),ISNUMBER(SEARCH("RandomOverSampler",A111)),ISNUMBER(SEARCH("BorderlineSmote",A111))),    "Oversampling",    IF(     OR(ISNUMBER(SEARCH("RandomUnderSampler",A111)),ISNUMBER(SEARCH("ClusterCentroids",A111)),ISNUMBER(SEARCH("OneSidedSelection",A111))),     "Undersampler",     "Czysty"    )   )  ) )</f>
        <v>Over+Under</v>
      </c>
      <c r="C111" s="1" t="s">
        <v>14</v>
      </c>
      <c r="D111" s="1" t="n">
        <v>0.3111</v>
      </c>
      <c r="E111" s="1" t="n">
        <v>0.3369</v>
      </c>
      <c r="F111" s="1" t="n">
        <v>0.4115</v>
      </c>
      <c r="G111" s="1" t="n">
        <v>0.4115</v>
      </c>
      <c r="I111" s="1"/>
      <c r="J111" s="1"/>
      <c r="L111" s="1"/>
      <c r="M111" s="1"/>
      <c r="N111" s="1"/>
    </row>
    <row r="112" customFormat="false" ht="13.8" hidden="false" customHeight="false" outlineLevel="0" collapsed="false">
      <c r="A112" s="1" t="s">
        <v>85</v>
      </c>
      <c r="B112" s="1" t="str">
        <f aca="false">IF(  OR(ISNUMBER(SEARCH("SMOTEENN",A112)),ISNUMBER(SEARCH("SMOTETomek",A112))),  "Hybrid",  IF(   AND(    OR(ISNUMBER(SEARCH("SMOTE",A112)),ISNUMBER(SEARCH("SVMSMOTE",A112)),ISNUMBER(SEARCH("RandomOverSampler",A112)),ISNUMBER(SEARCH("BorderlineSmote",A112))),    OR(ISNUMBER(SEARCH("RandomUnderSampler",A112)),ISNUMBER(SEARCH("ClusterCentroids",A112)),ISNUMBER(SEARCH("OneSidedSelection",A112)))   ),   "Over+Under",   IF(    OR(ISNUMBER(SEARCH("SMOTE",A112)),ISNUMBER(SEARCH("SVMSMOTE",A112)),ISNUMBER(SEARCH("RandomOverSampler",A112)),ISNUMBER(SEARCH("BorderlineSmote",A112))),    "Oversampling",    IF(     OR(ISNUMBER(SEARCH("RandomUnderSampler",A112)),ISNUMBER(SEARCH("ClusterCentroids",A112)),ISNUMBER(SEARCH("OneSidedSelection",A112))),     "Undersampler",     "Czysty"    )   )  ) )</f>
        <v>Over+Under</v>
      </c>
      <c r="C112" s="1" t="s">
        <v>14</v>
      </c>
      <c r="D112" s="1" t="n">
        <v>0.2352</v>
      </c>
      <c r="E112" s="1" t="n">
        <v>0.2844</v>
      </c>
      <c r="F112" s="1" t="n">
        <v>0.395</v>
      </c>
      <c r="G112" s="1" t="n">
        <v>0.3628</v>
      </c>
      <c r="I112" s="1"/>
      <c r="J112" s="1"/>
      <c r="L112" s="1"/>
      <c r="M112" s="1"/>
      <c r="N112" s="1"/>
    </row>
    <row r="113" customFormat="false" ht="13.8" hidden="false" customHeight="false" outlineLevel="0" collapsed="false">
      <c r="A113" s="1" t="s">
        <v>82</v>
      </c>
      <c r="B113" s="1" t="str">
        <f aca="false">IF(  OR(ISNUMBER(SEARCH("SMOTEENN",A113)),ISNUMBER(SEARCH("SMOTETomek",A113))),  "Hybrid",  IF(   AND(    OR(ISNUMBER(SEARCH("SMOTE",A113)),ISNUMBER(SEARCH("SVMSMOTE",A113)),ISNUMBER(SEARCH("RandomOverSampler",A113)),ISNUMBER(SEARCH("BorderlineSmote",A113))),    OR(ISNUMBER(SEARCH("RandomUnderSampler",A113)),ISNUMBER(SEARCH("ClusterCentroids",A113)),ISNUMBER(SEARCH("OneSidedSelection",A113)))   ),   "Over+Under",   IF(    OR(ISNUMBER(SEARCH("SMOTE",A113)),ISNUMBER(SEARCH("SVMSMOTE",A113)),ISNUMBER(SEARCH("RandomOverSampler",A113)),ISNUMBER(SEARCH("BorderlineSmote",A113))),    "Oversampling",    IF(     OR(ISNUMBER(SEARCH("RandomUnderSampler",A113)),ISNUMBER(SEARCH("ClusterCentroids",A113)),ISNUMBER(SEARCH("OneSidedSelection",A113))),     "Undersampler",     "Czysty"    )   )  ) )</f>
        <v>Over+Under</v>
      </c>
      <c r="C113" s="1" t="s">
        <v>14</v>
      </c>
      <c r="D113" s="1" t="n">
        <v>0.2852</v>
      </c>
      <c r="E113" s="1" t="n">
        <v>0.2706</v>
      </c>
      <c r="F113" s="1" t="n">
        <v>0.4142</v>
      </c>
      <c r="G113" s="1" t="n">
        <v>0.3385</v>
      </c>
      <c r="I113" s="1"/>
      <c r="J113" s="1"/>
      <c r="L113" s="1"/>
      <c r="M113" s="1"/>
      <c r="N113" s="1"/>
    </row>
    <row r="114" customFormat="false" ht="13.8" hidden="false" customHeight="false" outlineLevel="0" collapsed="false">
      <c r="A114" s="1" t="s">
        <v>86</v>
      </c>
      <c r="B114" s="1" t="str">
        <f aca="false">IF(  OR(ISNUMBER(SEARCH("SMOTEENN",A114)),ISNUMBER(SEARCH("SMOTETomek",A114))),  "Hybrid",  IF(   AND(    OR(ISNUMBER(SEARCH("SMOTE",A114)),ISNUMBER(SEARCH("SVMSMOTE",A114)),ISNUMBER(SEARCH("RandomOverSampler",A114)),ISNUMBER(SEARCH("BorderlineSmote",A114))),    OR(ISNUMBER(SEARCH("RandomUnderSampler",A114)),ISNUMBER(SEARCH("ClusterCentroids",A114)),ISNUMBER(SEARCH("OneSidedSelection",A114)))   ),   "Over+Under",   IF(    OR(ISNUMBER(SEARCH("SMOTE",A114)),ISNUMBER(SEARCH("SVMSMOTE",A114)),ISNUMBER(SEARCH("RandomOverSampler",A114)),ISNUMBER(SEARCH("BorderlineSmote",A114))),    "Oversampling",    IF(     OR(ISNUMBER(SEARCH("RandomUnderSampler",A114)),ISNUMBER(SEARCH("ClusterCentroids",A114)),ISNUMBER(SEARCH("OneSidedSelection",A114))),     "Undersampler",     "Czysty"    )   )  ) )</f>
        <v>Over+Under</v>
      </c>
      <c r="C114" s="1" t="s">
        <v>14</v>
      </c>
      <c r="D114" s="1" t="n">
        <v>0.237</v>
      </c>
      <c r="E114" s="1" t="n">
        <v>0.2681</v>
      </c>
      <c r="F114" s="1" t="n">
        <v>0.4471</v>
      </c>
      <c r="G114" s="1" t="n">
        <v>0.356</v>
      </c>
      <c r="I114" s="1"/>
      <c r="J114" s="1"/>
      <c r="L114" s="1"/>
      <c r="M114" s="1"/>
      <c r="N114" s="1"/>
    </row>
    <row r="115" customFormat="false" ht="13.8" hidden="false" customHeight="false" outlineLevel="0" collapsed="false">
      <c r="A115" s="1" t="s">
        <v>79</v>
      </c>
      <c r="B115" s="1" t="str">
        <f aca="false">IF(  OR(ISNUMBER(SEARCH("SMOTEENN",A115)),ISNUMBER(SEARCH("SMOTETomek",A115))),  "Hybrid",  IF(   AND(    OR(ISNUMBER(SEARCH("SMOTE",A115)),ISNUMBER(SEARCH("SVMSMOTE",A115)),ISNUMBER(SEARCH("RandomOverSampler",A115)),ISNUMBER(SEARCH("BorderlineSmote",A115))),    OR(ISNUMBER(SEARCH("RandomUnderSampler",A115)),ISNUMBER(SEARCH("ClusterCentroids",A115)),ISNUMBER(SEARCH("OneSidedSelection",A115)))   ),   "Over+Under",   IF(    OR(ISNUMBER(SEARCH("SMOTE",A115)),ISNUMBER(SEARCH("SVMSMOTE",A115)),ISNUMBER(SEARCH("RandomOverSampler",A115)),ISNUMBER(SEARCH("BorderlineSmote",A115))),    "Oversampling",    IF(     OR(ISNUMBER(SEARCH("RandomUnderSampler",A115)),ISNUMBER(SEARCH("ClusterCentroids",A115)),ISNUMBER(SEARCH("OneSidedSelection",A115))),     "Undersampler",     "Czysty"    )   )  ) )</f>
        <v>Oversampling</v>
      </c>
      <c r="C115" s="1" t="s">
        <v>74</v>
      </c>
      <c r="D115" s="1" t="n">
        <v>0.6463</v>
      </c>
      <c r="E115" s="1" t="n">
        <v>0.5779</v>
      </c>
      <c r="F115" s="1" t="n">
        <v>0.619</v>
      </c>
      <c r="G115" s="1" t="n">
        <v>0.5726</v>
      </c>
      <c r="I115" s="1"/>
      <c r="J115" s="1"/>
      <c r="L115" s="1"/>
      <c r="M115" s="1"/>
      <c r="N115" s="1"/>
    </row>
    <row r="116" customFormat="false" ht="13.8" hidden="false" customHeight="false" outlineLevel="0" collapsed="false">
      <c r="A116" s="1" t="s">
        <v>123</v>
      </c>
      <c r="B116" s="1" t="str">
        <f aca="false">IF(  OR(ISNUMBER(SEARCH("SMOTEENN",A116)),ISNUMBER(SEARCH("SMOTETomek",A116))),  "Hybrid",  IF(   AND(    OR(ISNUMBER(SEARCH("SMOTE",A116)),ISNUMBER(SEARCH("SVMSMOTE",A116)),ISNUMBER(SEARCH("RandomOverSampler",A116)),ISNUMBER(SEARCH("BorderlineSmote",A116))),    OR(ISNUMBER(SEARCH("RandomUnderSampler",A116)),ISNUMBER(SEARCH("ClusterCentroids",A116)),ISNUMBER(SEARCH("OneSidedSelection",A116)))   ),   "Over+Under",   IF(    OR(ISNUMBER(SEARCH("SMOTE",A116)),ISNUMBER(SEARCH("SVMSMOTE",A116)),ISNUMBER(SEARCH("RandomOverSampler",A116)),ISNUMBER(SEARCH("BorderlineSmote",A116))),    "Oversampling",    IF(     OR(ISNUMBER(SEARCH("RandomUnderSampler",A116)),ISNUMBER(SEARCH("ClusterCentroids",A116)),ISNUMBER(SEARCH("OneSidedSelection",A116))),     "Undersampler",     "Czysty"    )   )  ) )</f>
        <v>Oversampling</v>
      </c>
      <c r="C116" s="1" t="s">
        <v>74</v>
      </c>
      <c r="D116" s="1" t="n">
        <v>0.5907</v>
      </c>
      <c r="E116" s="1" t="n">
        <v>0.546</v>
      </c>
      <c r="F116" s="1" t="n">
        <v>0.5874</v>
      </c>
      <c r="G116" s="1" t="n">
        <v>0.541</v>
      </c>
      <c r="I116" s="1"/>
      <c r="J116" s="1"/>
      <c r="L116" s="1"/>
      <c r="M116" s="1"/>
      <c r="N116" s="1"/>
    </row>
    <row r="117" customFormat="false" ht="13.8" hidden="false" customHeight="false" outlineLevel="0" collapsed="false">
      <c r="A117" s="1" t="s">
        <v>126</v>
      </c>
      <c r="B117" s="1" t="str">
        <f aca="false">IF(  OR(ISNUMBER(SEARCH("SMOTEENN",A117)),ISNUMBER(SEARCH("SMOTETomek",A117))),  "Hybrid",  IF(   AND(    OR(ISNUMBER(SEARCH("SMOTE",A117)),ISNUMBER(SEARCH("SVMSMOTE",A117)),ISNUMBER(SEARCH("RandomOverSampler",A117)),ISNUMBER(SEARCH("BorderlineSmote",A117))),    OR(ISNUMBER(SEARCH("RandomUnderSampler",A117)),ISNUMBER(SEARCH("ClusterCentroids",A117)),ISNUMBER(SEARCH("OneSidedSelection",A117)))   ),   "Over+Under",   IF(    OR(ISNUMBER(SEARCH("SMOTE",A117)),ISNUMBER(SEARCH("SVMSMOTE",A117)),ISNUMBER(SEARCH("RandomOverSampler",A117)),ISNUMBER(SEARCH("BorderlineSmote",A117))),    "Oversampling",    IF(     OR(ISNUMBER(SEARCH("RandomUnderSampler",A117)),ISNUMBER(SEARCH("ClusterCentroids",A117)),ISNUMBER(SEARCH("OneSidedSelection",A117))),     "Undersampler",     "Czysty"    )   )  ) )</f>
        <v>Oversampling</v>
      </c>
      <c r="C117" s="1" t="s">
        <v>74</v>
      </c>
      <c r="D117" s="1" t="n">
        <v>0.6167</v>
      </c>
      <c r="E117" s="1" t="n">
        <v>0.5448</v>
      </c>
      <c r="F117" s="1" t="n">
        <v>0.5977</v>
      </c>
      <c r="G117" s="1" t="n">
        <v>0.5397</v>
      </c>
      <c r="I117" s="1"/>
      <c r="J117" s="1"/>
      <c r="L117" s="1"/>
      <c r="M117" s="1"/>
      <c r="N117" s="1"/>
    </row>
    <row r="118" customFormat="false" ht="13.8" hidden="false" customHeight="false" outlineLevel="0" collapsed="false">
      <c r="A118" s="1" t="s">
        <v>81</v>
      </c>
      <c r="B118" s="1" t="str">
        <f aca="false">IF(  OR(ISNUMBER(SEARCH("SMOTEENN",A118)),ISNUMBER(SEARCH("SMOTETomek",A118))),  "Hybrid",  IF(   AND(    OR(ISNUMBER(SEARCH("SMOTE",A118)),ISNUMBER(SEARCH("SVMSMOTE",A118)),ISNUMBER(SEARCH("RandomOverSampler",A118)),ISNUMBER(SEARCH("BorderlineSmote",A118))),    OR(ISNUMBER(SEARCH("RandomUnderSampler",A118)),ISNUMBER(SEARCH("ClusterCentroids",A118)),ISNUMBER(SEARCH("OneSidedSelection",A118)))   ),   "Over+Under",   IF(    OR(ISNUMBER(SEARCH("SMOTE",A118)),ISNUMBER(SEARCH("SVMSMOTE",A118)),ISNUMBER(SEARCH("RandomOverSampler",A118)),ISNUMBER(SEARCH("BorderlineSmote",A118))),    "Oversampling",    IF(     OR(ISNUMBER(SEARCH("RandomUnderSampler",A118)),ISNUMBER(SEARCH("ClusterCentroids",A118)),ISNUMBER(SEARCH("OneSidedSelection",A118))),     "Undersampler",     "Czysty"    )   )  ) )</f>
        <v>Oversampling</v>
      </c>
      <c r="C118" s="1" t="s">
        <v>74</v>
      </c>
      <c r="D118" s="1" t="n">
        <v>0.6241</v>
      </c>
      <c r="E118" s="1" t="n">
        <v>0.5445</v>
      </c>
      <c r="F118" s="1" t="n">
        <v>0.592</v>
      </c>
      <c r="G118" s="1" t="n">
        <v>0.5398</v>
      </c>
      <c r="I118" s="1"/>
      <c r="J118" s="1"/>
      <c r="L118" s="1"/>
      <c r="M118" s="1"/>
      <c r="N118" s="1"/>
    </row>
    <row r="119" customFormat="false" ht="13.8" hidden="false" customHeight="false" outlineLevel="0" collapsed="false">
      <c r="A119" s="1" t="s">
        <v>80</v>
      </c>
      <c r="B119" s="1" t="str">
        <f aca="false">IF(  OR(ISNUMBER(SEARCH("SMOTEENN",A119)),ISNUMBER(SEARCH("SMOTETomek",A119))),  "Hybrid",  IF(   AND(    OR(ISNUMBER(SEARCH("SMOTE",A119)),ISNUMBER(SEARCH("SVMSMOTE",A119)),ISNUMBER(SEARCH("RandomOverSampler",A119)),ISNUMBER(SEARCH("BorderlineSmote",A119))),    OR(ISNUMBER(SEARCH("RandomUnderSampler",A119)),ISNUMBER(SEARCH("ClusterCentroids",A119)),ISNUMBER(SEARCH("OneSidedSelection",A119)))   ),   "Over+Under",   IF(    OR(ISNUMBER(SEARCH("SMOTE",A119)),ISNUMBER(SEARCH("SVMSMOTE",A119)),ISNUMBER(SEARCH("RandomOverSampler",A119)),ISNUMBER(SEARCH("BorderlineSmote",A119))),    "Oversampling",    IF(     OR(ISNUMBER(SEARCH("RandomUnderSampler",A119)),ISNUMBER(SEARCH("ClusterCentroids",A119)),ISNUMBER(SEARCH("OneSidedSelection",A119))),     "Undersampler",     "Czysty"    )   )  ) )</f>
        <v>Hybrid</v>
      </c>
      <c r="C119" s="1" t="s">
        <v>74</v>
      </c>
      <c r="D119" s="1" t="n">
        <v>0.6</v>
      </c>
      <c r="E119" s="1" t="n">
        <v>0.5316</v>
      </c>
      <c r="F119" s="1" t="n">
        <v>0.5725</v>
      </c>
      <c r="G119" s="1" t="n">
        <v>0.5365</v>
      </c>
      <c r="I119" s="1"/>
      <c r="J119" s="1"/>
      <c r="L119" s="1"/>
      <c r="M119" s="1"/>
      <c r="N119" s="1"/>
    </row>
    <row r="120" customFormat="false" ht="13.8" hidden="false" customHeight="false" outlineLevel="0" collapsed="false">
      <c r="A120" s="1" t="s">
        <v>26</v>
      </c>
      <c r="B120" s="1" t="str">
        <f aca="false">IF(  OR(ISNUMBER(SEARCH("SMOTEENN",A120)),ISNUMBER(SEARCH("SMOTETomek",A120))),  "Hybrid",  IF(   AND(    OR(ISNUMBER(SEARCH("SMOTE",A120)),ISNUMBER(SEARCH("SVMSMOTE",A120)),ISNUMBER(SEARCH("RandomOverSampler",A120)),ISNUMBER(SEARCH("BorderlineSmote",A120))),    OR(ISNUMBER(SEARCH("RandomUnderSampler",A120)),ISNUMBER(SEARCH("ClusterCentroids",A120)),ISNUMBER(SEARCH("OneSidedSelection",A120)))   ),   "Over+Under",   IF(    OR(ISNUMBER(SEARCH("SMOTE",A120)),ISNUMBER(SEARCH("SVMSMOTE",A120)),ISNUMBER(SEARCH("RandomOverSampler",A120)),ISNUMBER(SEARCH("BorderlineSmote",A120))),    "Oversampling",    IF(     OR(ISNUMBER(SEARCH("RandomUnderSampler",A120)),ISNUMBER(SEARCH("ClusterCentroids",A120)),ISNUMBER(SEARCH("OneSidedSelection",A120))),     "Undersampler",     "Czysty"    )   )  ) )</f>
        <v>Czysty</v>
      </c>
      <c r="C120" s="1" t="s">
        <v>74</v>
      </c>
      <c r="D120" s="1" t="n">
        <v>0.6093</v>
      </c>
      <c r="E120" s="1" t="n">
        <v>0.5114</v>
      </c>
      <c r="F120" s="1" t="n">
        <v>0.612</v>
      </c>
      <c r="G120" s="1" t="n">
        <v>0.5002</v>
      </c>
      <c r="I120" s="1"/>
      <c r="J120" s="1"/>
      <c r="L120" s="1"/>
      <c r="M120" s="1"/>
      <c r="N120" s="1"/>
    </row>
    <row r="121" customFormat="false" ht="13.8" hidden="false" customHeight="false" outlineLevel="0" collapsed="false">
      <c r="A121" s="1" t="s">
        <v>84</v>
      </c>
      <c r="B121" s="1" t="str">
        <f aca="false">IF(  OR(ISNUMBER(SEARCH("SMOTEENN",A121)),ISNUMBER(SEARCH("SMOTETomek",A121))),  "Hybrid",  IF(   AND(    OR(ISNUMBER(SEARCH("SMOTE",A121)),ISNUMBER(SEARCH("SVMSMOTE",A121)),ISNUMBER(SEARCH("RandomOverSampler",A121)),ISNUMBER(SEARCH("BorderlineSmote",A121))),    OR(ISNUMBER(SEARCH("RandomUnderSampler",A121)),ISNUMBER(SEARCH("ClusterCentroids",A121)),ISNUMBER(SEARCH("OneSidedSelection",A121)))   ),   "Over+Under",   IF(    OR(ISNUMBER(SEARCH("SMOTE",A121)),ISNUMBER(SEARCH("SVMSMOTE",A121)),ISNUMBER(SEARCH("RandomOverSampler",A121)),ISNUMBER(SEARCH("BorderlineSmote",A121))),    "Oversampling",    IF(     OR(ISNUMBER(SEARCH("RandomUnderSampler",A121)),ISNUMBER(SEARCH("ClusterCentroids",A121)),ISNUMBER(SEARCH("OneSidedSelection",A121))),     "Undersampler",     "Czysty"    )   )  ) )</f>
        <v>Over+Under</v>
      </c>
      <c r="C121" s="1" t="s">
        <v>74</v>
      </c>
      <c r="D121" s="1" t="n">
        <v>0.4611</v>
      </c>
      <c r="E121" s="1" t="n">
        <v>0.4249</v>
      </c>
      <c r="F121" s="1" t="n">
        <v>0.5028</v>
      </c>
      <c r="G121" s="1" t="n">
        <v>0.4677</v>
      </c>
      <c r="I121" s="1"/>
      <c r="J121" s="1"/>
      <c r="L121" s="1"/>
      <c r="M121" s="1"/>
      <c r="N121" s="1"/>
    </row>
    <row r="122" customFormat="false" ht="13.8" hidden="false" customHeight="false" outlineLevel="0" collapsed="false">
      <c r="A122" s="1" t="s">
        <v>83</v>
      </c>
      <c r="B122" s="1" t="str">
        <f aca="false">IF(  OR(ISNUMBER(SEARCH("SMOTEENN",A122)),ISNUMBER(SEARCH("SMOTETomek",A122))),  "Hybrid",  IF(   AND(    OR(ISNUMBER(SEARCH("SMOTE",A122)),ISNUMBER(SEARCH("SVMSMOTE",A122)),ISNUMBER(SEARCH("RandomOverSampler",A122)),ISNUMBER(SEARCH("BorderlineSmote",A122))),    OR(ISNUMBER(SEARCH("RandomUnderSampler",A122)),ISNUMBER(SEARCH("ClusterCentroids",A122)),ISNUMBER(SEARCH("OneSidedSelection",A122)))   ),   "Over+Under",   IF(    OR(ISNUMBER(SEARCH("SMOTE",A122)),ISNUMBER(SEARCH("SVMSMOTE",A122)),ISNUMBER(SEARCH("RandomOverSampler",A122)),ISNUMBER(SEARCH("BorderlineSmote",A122))),    "Oversampling",    IF(     OR(ISNUMBER(SEARCH("RandomUnderSampler",A122)),ISNUMBER(SEARCH("ClusterCentroids",A122)),ISNUMBER(SEARCH("OneSidedSelection",A122))),     "Undersampler",     "Czysty"    )   )  ) )</f>
        <v>Over+Under</v>
      </c>
      <c r="C122" s="1" t="s">
        <v>74</v>
      </c>
      <c r="D122" s="1" t="n">
        <v>0.3296</v>
      </c>
      <c r="E122" s="1" t="n">
        <v>0.374</v>
      </c>
      <c r="F122" s="1" t="n">
        <v>0.4937</v>
      </c>
      <c r="G122" s="1" t="n">
        <v>0.4665</v>
      </c>
      <c r="I122" s="1"/>
      <c r="J122" s="1"/>
      <c r="L122" s="1"/>
      <c r="M122" s="1"/>
      <c r="N122" s="1"/>
    </row>
    <row r="123" customFormat="false" ht="13.8" hidden="false" customHeight="false" outlineLevel="0" collapsed="false">
      <c r="A123" s="1" t="s">
        <v>124</v>
      </c>
      <c r="B123" s="1" t="str">
        <f aca="false">IF(  OR(ISNUMBER(SEARCH("SMOTEENN",A123)),ISNUMBER(SEARCH("SMOTETomek",A123))),  "Hybrid",  IF(   AND(    OR(ISNUMBER(SEARCH("SMOTE",A123)),ISNUMBER(SEARCH("SVMSMOTE",A123)),ISNUMBER(SEARCH("RandomOverSampler",A123)),ISNUMBER(SEARCH("BorderlineSmote",A123))),    OR(ISNUMBER(SEARCH("RandomUnderSampler",A123)),ISNUMBER(SEARCH("ClusterCentroids",A123)),ISNUMBER(SEARCH("OneSidedSelection",A123)))   ),   "Over+Under",   IF(    OR(ISNUMBER(SEARCH("SMOTE",A123)),ISNUMBER(SEARCH("SVMSMOTE",A123)),ISNUMBER(SEARCH("RandomOverSampler",A123)),ISNUMBER(SEARCH("BorderlineSmote",A123))),    "Oversampling",    IF(     OR(ISNUMBER(SEARCH("RandomUnderSampler",A123)),ISNUMBER(SEARCH("ClusterCentroids",A123)),ISNUMBER(SEARCH("OneSidedSelection",A123))),     "Undersampler",     "Czysty"    )   )  ) )</f>
        <v>Over+Under</v>
      </c>
      <c r="C123" s="1" t="s">
        <v>74</v>
      </c>
      <c r="D123" s="1" t="n">
        <v>0.3093</v>
      </c>
      <c r="E123" s="1" t="n">
        <v>0.3538</v>
      </c>
      <c r="F123" s="1" t="n">
        <v>0.5036</v>
      </c>
      <c r="G123" s="1" t="n">
        <v>0.4391</v>
      </c>
      <c r="I123" s="1"/>
      <c r="J123" s="1"/>
      <c r="L123" s="1"/>
      <c r="M123" s="1"/>
      <c r="N123" s="1"/>
    </row>
    <row r="124" customFormat="false" ht="13.8" hidden="false" customHeight="false" outlineLevel="0" collapsed="false">
      <c r="A124" s="1" t="s">
        <v>82</v>
      </c>
      <c r="B124" s="1" t="str">
        <f aca="false">IF(  OR(ISNUMBER(SEARCH("SMOTEENN",A124)),ISNUMBER(SEARCH("SMOTETomek",A124))),  "Hybrid",  IF(   AND(    OR(ISNUMBER(SEARCH("SMOTE",A124)),ISNUMBER(SEARCH("SVMSMOTE",A124)),ISNUMBER(SEARCH("RandomOverSampler",A124)),ISNUMBER(SEARCH("BorderlineSmote",A124))),    OR(ISNUMBER(SEARCH("RandomUnderSampler",A124)),ISNUMBER(SEARCH("ClusterCentroids",A124)),ISNUMBER(SEARCH("OneSidedSelection",A124)))   ),   "Over+Under",   IF(    OR(ISNUMBER(SEARCH("SMOTE",A124)),ISNUMBER(SEARCH("SVMSMOTE",A124)),ISNUMBER(SEARCH("RandomOverSampler",A124)),ISNUMBER(SEARCH("BorderlineSmote",A124))),    "Oversampling",    IF(     OR(ISNUMBER(SEARCH("RandomUnderSampler",A124)),ISNUMBER(SEARCH("ClusterCentroids",A124)),ISNUMBER(SEARCH("OneSidedSelection",A124))),     "Undersampler",     "Czysty"    )   )  ) )</f>
        <v>Over+Under</v>
      </c>
      <c r="C124" s="1" t="s">
        <v>74</v>
      </c>
      <c r="D124" s="1" t="n">
        <v>0.3148</v>
      </c>
      <c r="E124" s="1" t="n">
        <v>0.3505</v>
      </c>
      <c r="F124" s="1" t="n">
        <v>0.5474</v>
      </c>
      <c r="G124" s="1" t="n">
        <v>0.4119</v>
      </c>
      <c r="I124" s="1"/>
      <c r="J124" s="1"/>
      <c r="L124" s="1"/>
      <c r="M124" s="1"/>
      <c r="N124" s="1"/>
    </row>
    <row r="125" customFormat="false" ht="13.8" hidden="false" customHeight="false" outlineLevel="0" collapsed="false">
      <c r="A125" s="1" t="s">
        <v>85</v>
      </c>
      <c r="B125" s="1" t="str">
        <f aca="false">IF(  OR(ISNUMBER(SEARCH("SMOTEENN",A125)),ISNUMBER(SEARCH("SMOTETomek",A125))),  "Hybrid",  IF(   AND(    OR(ISNUMBER(SEARCH("SMOTE",A125)),ISNUMBER(SEARCH("SVMSMOTE",A125)),ISNUMBER(SEARCH("RandomOverSampler",A125)),ISNUMBER(SEARCH("BorderlineSmote",A125))),    OR(ISNUMBER(SEARCH("RandomUnderSampler",A125)),ISNUMBER(SEARCH("ClusterCentroids",A125)),ISNUMBER(SEARCH("OneSidedSelection",A125)))   ),   "Over+Under",   IF(    OR(ISNUMBER(SEARCH("SMOTE",A125)),ISNUMBER(SEARCH("SVMSMOTE",A125)),ISNUMBER(SEARCH("RandomOverSampler",A125)),ISNUMBER(SEARCH("BorderlineSmote",A125))),    "Oversampling",    IF(     OR(ISNUMBER(SEARCH("RandomUnderSampler",A125)),ISNUMBER(SEARCH("ClusterCentroids",A125)),ISNUMBER(SEARCH("OneSidedSelection",A125))),     "Undersampler",     "Czysty"    )   )  ) )</f>
        <v>Over+Under</v>
      </c>
      <c r="C125" s="1" t="s">
        <v>74</v>
      </c>
      <c r="D125" s="1" t="n">
        <v>0.2815</v>
      </c>
      <c r="E125" s="1" t="n">
        <v>0.3319</v>
      </c>
      <c r="F125" s="1" t="n">
        <v>0.4315</v>
      </c>
      <c r="G125" s="1" t="n">
        <v>0.4087</v>
      </c>
      <c r="I125" s="1"/>
      <c r="J125" s="1"/>
      <c r="L125" s="1"/>
      <c r="M125" s="1"/>
      <c r="N125" s="1"/>
    </row>
    <row r="126" customFormat="false" ht="13.8" hidden="false" customHeight="false" outlineLevel="0" collapsed="false">
      <c r="A126" s="1" t="s">
        <v>87</v>
      </c>
      <c r="B126" s="1" t="str">
        <f aca="false">IF(  OR(ISNUMBER(SEARCH("SMOTEENN",A126)),ISNUMBER(SEARCH("SMOTETomek",A126))),  "Hybrid",  IF(   AND(    OR(ISNUMBER(SEARCH("SMOTE",A126)),ISNUMBER(SEARCH("SVMSMOTE",A126)),ISNUMBER(SEARCH("RandomOverSampler",A126)),ISNUMBER(SEARCH("BorderlineSmote",A126))),    OR(ISNUMBER(SEARCH("RandomUnderSampler",A126)),ISNUMBER(SEARCH("ClusterCentroids",A126)),ISNUMBER(SEARCH("OneSidedSelection",A126)))   ),   "Over+Under",   IF(    OR(ISNUMBER(SEARCH("SMOTE",A126)),ISNUMBER(SEARCH("SVMSMOTE",A126)),ISNUMBER(SEARCH("RandomOverSampler",A126)),ISNUMBER(SEARCH("BorderlineSmote",A126))),    "Oversampling",    IF(     OR(ISNUMBER(SEARCH("RandomUnderSampler",A126)),ISNUMBER(SEARCH("ClusterCentroids",A126)),ISNUMBER(SEARCH("OneSidedSelection",A126))),     "Undersampler",     "Czysty"    )   )  ) )</f>
        <v>Hybrid</v>
      </c>
      <c r="C126" s="1" t="s">
        <v>74</v>
      </c>
      <c r="D126" s="1" t="n">
        <v>0.3111</v>
      </c>
      <c r="E126" s="1" t="n">
        <v>0.3253</v>
      </c>
      <c r="F126" s="1" t="n">
        <v>0.4038</v>
      </c>
      <c r="G126" s="1" t="n">
        <v>0.4021</v>
      </c>
      <c r="I126" s="1"/>
      <c r="J126" s="1"/>
      <c r="L126" s="1"/>
      <c r="M126" s="1"/>
      <c r="N126" s="1"/>
    </row>
    <row r="127" customFormat="false" ht="13.8" hidden="false" customHeight="false" outlineLevel="0" collapsed="false">
      <c r="A127" s="1" t="s">
        <v>125</v>
      </c>
      <c r="B127" s="1" t="str">
        <f aca="false">IF(  OR(ISNUMBER(SEARCH("SMOTEENN",A127)),ISNUMBER(SEARCH("SMOTETomek",A127))),  "Hybrid",  IF(   AND(    OR(ISNUMBER(SEARCH("SMOTE",A127)),ISNUMBER(SEARCH("SVMSMOTE",A127)),ISNUMBER(SEARCH("RandomOverSampler",A127)),ISNUMBER(SEARCH("BorderlineSmote",A127))),    OR(ISNUMBER(SEARCH("RandomUnderSampler",A127)),ISNUMBER(SEARCH("ClusterCentroids",A127)),ISNUMBER(SEARCH("OneSidedSelection",A127)))   ),   "Over+Under",   IF(    OR(ISNUMBER(SEARCH("SMOTE",A127)),ISNUMBER(SEARCH("SVMSMOTE",A127)),ISNUMBER(SEARCH("RandomOverSampler",A127)),ISNUMBER(SEARCH("BorderlineSmote",A127))),    "Oversampling",    IF(     OR(ISNUMBER(SEARCH("RandomUnderSampler",A127)),ISNUMBER(SEARCH("ClusterCentroids",A127)),ISNUMBER(SEARCH("OneSidedSelection",A127))),     "Undersampler",     "Czysty"    )   )  ) )</f>
        <v>Over+Under</v>
      </c>
      <c r="C127" s="1" t="s">
        <v>74</v>
      </c>
      <c r="D127" s="1" t="n">
        <v>0.2741</v>
      </c>
      <c r="E127" s="1" t="n">
        <v>0.3093</v>
      </c>
      <c r="F127" s="1" t="n">
        <v>0.5013</v>
      </c>
      <c r="G127" s="1" t="n">
        <v>0.3704</v>
      </c>
      <c r="I127" s="1"/>
      <c r="J127" s="1"/>
      <c r="L127" s="1"/>
      <c r="M127" s="1"/>
      <c r="N127" s="1"/>
    </row>
    <row r="128" customFormat="false" ht="13.8" hidden="false" customHeight="false" outlineLevel="0" collapsed="false">
      <c r="A128" s="1" t="s">
        <v>86</v>
      </c>
      <c r="B128" s="1" t="str">
        <f aca="false">IF(  OR(ISNUMBER(SEARCH("SMOTEENN",A128)),ISNUMBER(SEARCH("SMOTETomek",A128))),  "Hybrid",  IF(   AND(    OR(ISNUMBER(SEARCH("SMOTE",A128)),ISNUMBER(SEARCH("SVMSMOTE",A128)),ISNUMBER(SEARCH("RandomOverSampler",A128)),ISNUMBER(SEARCH("BorderlineSmote",A128))),    OR(ISNUMBER(SEARCH("RandomUnderSampler",A128)),ISNUMBER(SEARCH("ClusterCentroids",A128)),ISNUMBER(SEARCH("OneSidedSelection",A128)))   ),   "Over+Under",   IF(    OR(ISNUMBER(SEARCH("SMOTE",A128)),ISNUMBER(SEARCH("SVMSMOTE",A128)),ISNUMBER(SEARCH("RandomOverSampler",A128)),ISNUMBER(SEARCH("BorderlineSmote",A128))),    "Oversampling",    IF(     OR(ISNUMBER(SEARCH("RandomUnderSampler",A128)),ISNUMBER(SEARCH("ClusterCentroids",A128)),ISNUMBER(SEARCH("OneSidedSelection",A128))),     "Undersampler",     "Czysty"    )   )  ) )</f>
        <v>Over+Under</v>
      </c>
      <c r="C128" s="1" t="s">
        <v>74</v>
      </c>
      <c r="D128" s="1" t="n">
        <v>0.2741</v>
      </c>
      <c r="E128" s="1" t="n">
        <v>0.2858</v>
      </c>
      <c r="F128" s="1" t="n">
        <v>0.4123</v>
      </c>
      <c r="G128" s="1" t="n">
        <v>0.3873</v>
      </c>
      <c r="I128" s="1"/>
      <c r="J128" s="1"/>
      <c r="L128" s="1"/>
      <c r="M128" s="1"/>
      <c r="N128" s="1"/>
    </row>
    <row r="129" customFormat="false" ht="13.8" hidden="false" customHeight="false" outlineLevel="0" collapsed="false">
      <c r="A129" s="1" t="s">
        <v>88</v>
      </c>
      <c r="B129" s="1" t="str">
        <f aca="false">IF(  OR(ISNUMBER(SEARCH("SMOTEENN",A129)),ISNUMBER(SEARCH("SMOTETomek",A129))),  "Hybrid",  IF(   AND(    OR(ISNUMBER(SEARCH("SMOTE",A129)),ISNUMBER(SEARCH("SVMSMOTE",A129)),ISNUMBER(SEARCH("RandomOverSampler",A129)),ISNUMBER(SEARCH("BorderlineSmote",A129))),    OR(ISNUMBER(SEARCH("RandomUnderSampler",A129)),ISNUMBER(SEARCH("ClusterCentroids",A129)),ISNUMBER(SEARCH("OneSidedSelection",A129)))   ),   "Over+Under",   IF(    OR(ISNUMBER(SEARCH("SMOTE",A129)),ISNUMBER(SEARCH("SVMSMOTE",A129)),ISNUMBER(SEARCH("RandomOverSampler",A129)),ISNUMBER(SEARCH("BorderlineSmote",A129))),    "Oversampling",    IF(     OR(ISNUMBER(SEARCH("RandomUnderSampler",A129)),ISNUMBER(SEARCH("ClusterCentroids",A129)),ISNUMBER(SEARCH("OneSidedSelection",A129))),     "Undersampler",     "Czysty"    )   )  ) )</f>
        <v>Over+Under</v>
      </c>
      <c r="C129" s="1" t="s">
        <v>74</v>
      </c>
      <c r="D129" s="1" t="n">
        <v>0.3241</v>
      </c>
      <c r="E129" s="1" t="n">
        <v>0.2558</v>
      </c>
      <c r="F129" s="1" t="n">
        <v>0.2845</v>
      </c>
      <c r="G129" s="1" t="n">
        <v>0.3395</v>
      </c>
      <c r="I129" s="1"/>
      <c r="J129" s="1"/>
      <c r="L129" s="1"/>
      <c r="M129" s="1"/>
      <c r="N129" s="1"/>
    </row>
    <row r="131" customFormat="false" ht="13.8" hidden="false" customHeight="false" outlineLevel="0" collapsed="false">
      <c r="A131" s="1" t="s">
        <v>75</v>
      </c>
      <c r="D131" s="1" t="n">
        <f aca="false">ROUND(STDEV(D4:D18, D68:D82, D36:D50, D100:D114), 5)</f>
        <v>0.12762</v>
      </c>
      <c r="E131" s="1" t="n">
        <f aca="false">ROUND(STDEV(E4:E18, E68:E82, E36:E50, E100:E114), 5)</f>
        <v>0.09959</v>
      </c>
      <c r="F131" s="1" t="n">
        <f aca="false">ROUND(STDEV(F4:F18, F68:F82, F36:F50, F100:F114), 5)</f>
        <v>0.08165</v>
      </c>
      <c r="G131" s="1" t="n">
        <f aca="false">ROUND(STDEV(G4:G18, G68:G82, G36:G50, G100:G114), 5)</f>
        <v>0.0874</v>
      </c>
    </row>
    <row r="132" customFormat="false" ht="13.8" hidden="false" customHeight="false" outlineLevel="0" collapsed="false">
      <c r="A132" s="1" t="s">
        <v>76</v>
      </c>
      <c r="D132" s="1" t="n">
        <f aca="false">ROUND(STDEV(D19:D33, D83:D97, D51:D65, D115:D129), 5)</f>
        <v>0.12683</v>
      </c>
      <c r="E132" s="1" t="n">
        <f aca="false">ROUND(STDEV(E19:E33, E83:E97, E51:E65, E115:E129), 5)</f>
        <v>0.09761</v>
      </c>
      <c r="F132" s="1" t="n">
        <f aca="false">ROUND(STDEV(F19:F33, F83:F97, F51:F65, F115:F129), 5)</f>
        <v>0.08035</v>
      </c>
      <c r="G132" s="1" t="n">
        <f aca="false">ROUND(STDEV(G19:G33, G83:G97, G51:G65, G115:G129), 5)</f>
        <v>0.0821</v>
      </c>
    </row>
  </sheetData>
  <mergeCells count="5">
    <mergeCell ref="A1:G1"/>
    <mergeCell ref="A2:G2"/>
    <mergeCell ref="A35:G35"/>
    <mergeCell ref="A67:G67"/>
    <mergeCell ref="A99:G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94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15" hidden="false" customHeight="false" outlineLevel="0" collapsed="false">
      <c r="A4" s="1" t="s">
        <v>15</v>
      </c>
      <c r="B4" s="1" t="s">
        <v>1</v>
      </c>
      <c r="C4" s="1" t="s">
        <v>13</v>
      </c>
      <c r="D4" s="1" t="s">
        <v>14</v>
      </c>
      <c r="E4" s="1" t="n">
        <v>0.900537634408602</v>
      </c>
      <c r="F4" s="1" t="n">
        <v>0.871457326892109</v>
      </c>
      <c r="G4" s="1" t="n">
        <v>0.884901788750478</v>
      </c>
      <c r="H4" s="1" t="n">
        <v>0.921684941986485</v>
      </c>
      <c r="I4" s="1" t="n">
        <v>0.871457326892109</v>
      </c>
      <c r="J4" s="1" t="n">
        <v>0.0289882743085197</v>
      </c>
    </row>
    <row r="5" customFormat="false" ht="15" hidden="false" customHeight="false" outlineLevel="0" collapsed="false">
      <c r="A5" s="1" t="s">
        <v>12</v>
      </c>
      <c r="B5" s="1" t="s">
        <v>1</v>
      </c>
      <c r="C5" s="1" t="s">
        <v>13</v>
      </c>
      <c r="D5" s="1" t="s">
        <v>14</v>
      </c>
      <c r="E5" s="1" t="n">
        <v>0.895161290322581</v>
      </c>
      <c r="F5" s="1" t="n">
        <v>0.869655078214861</v>
      </c>
      <c r="G5" s="1" t="n">
        <v>0.886104550897648</v>
      </c>
      <c r="H5" s="1" t="n">
        <v>0.91763265643513</v>
      </c>
      <c r="I5" s="1" t="n">
        <v>0.869655078214861</v>
      </c>
      <c r="J5" s="1" t="n">
        <v>0.0244776185149953</v>
      </c>
    </row>
    <row r="6" customFormat="false" ht="15" hidden="false" customHeight="false" outlineLevel="0" collapsed="false">
      <c r="A6" s="1" t="s">
        <v>16</v>
      </c>
      <c r="B6" s="1" t="s">
        <v>1</v>
      </c>
      <c r="C6" s="1" t="s">
        <v>13</v>
      </c>
      <c r="D6" s="1" t="s">
        <v>14</v>
      </c>
      <c r="E6" s="1" t="n">
        <v>0.887096774193548</v>
      </c>
      <c r="F6" s="1" t="n">
        <v>0.864029071773637</v>
      </c>
      <c r="G6" s="1" t="n">
        <v>0.878505797141213</v>
      </c>
      <c r="H6" s="1" t="n">
        <v>0.91391395195863</v>
      </c>
      <c r="I6" s="1" t="n">
        <v>0.864029071773637</v>
      </c>
      <c r="J6" s="1" t="n">
        <v>0.0296908145760764</v>
      </c>
    </row>
    <row r="7" customFormat="false" ht="15" hidden="false" customHeight="false" outlineLevel="0" collapsed="false">
      <c r="A7" s="1" t="s">
        <v>73</v>
      </c>
      <c r="B7" s="1" t="s">
        <v>1</v>
      </c>
      <c r="C7" s="1" t="s">
        <v>13</v>
      </c>
      <c r="D7" s="1" t="s">
        <v>14</v>
      </c>
      <c r="E7" s="1" t="n">
        <v>0.879032258064516</v>
      </c>
      <c r="F7" s="1" t="n">
        <v>0.843082154359328</v>
      </c>
      <c r="G7" s="1" t="n">
        <v>0.854922835701105</v>
      </c>
      <c r="H7" s="1" t="n">
        <v>0.901174825946815</v>
      </c>
      <c r="I7" s="1" t="n">
        <v>0.843082154359328</v>
      </c>
      <c r="J7" s="1" t="n">
        <v>0.0537273690987832</v>
      </c>
    </row>
    <row r="8" customFormat="false" ht="15" hidden="false" customHeight="false" outlineLevel="0" collapsed="false">
      <c r="A8" s="1" t="s">
        <v>17</v>
      </c>
      <c r="B8" s="1" t="s">
        <v>17</v>
      </c>
      <c r="C8" s="1" t="s">
        <v>18</v>
      </c>
      <c r="D8" s="1" t="s">
        <v>14</v>
      </c>
      <c r="E8" s="1" t="n">
        <v>0.873655913978495</v>
      </c>
      <c r="F8" s="1" t="n">
        <v>0.84252429836669</v>
      </c>
      <c r="G8" s="1" t="n">
        <v>0.849643269475621</v>
      </c>
      <c r="H8" s="1" t="n">
        <v>0.8756925056291</v>
      </c>
      <c r="I8" s="1" t="n">
        <v>0.84252429836669</v>
      </c>
      <c r="J8" s="1" t="n">
        <v>0.0276235637840077</v>
      </c>
    </row>
    <row r="9" customFormat="false" ht="15" hidden="false" customHeight="false" outlineLevel="0" collapsed="false">
      <c r="A9" s="1" t="s">
        <v>70</v>
      </c>
      <c r="B9" s="1" t="s">
        <v>1</v>
      </c>
      <c r="C9" s="1" t="s">
        <v>13</v>
      </c>
      <c r="D9" s="1" t="s">
        <v>14</v>
      </c>
      <c r="E9" s="1" t="n">
        <v>0.868279569892473</v>
      </c>
      <c r="F9" s="1" t="n">
        <v>0.833950138026225</v>
      </c>
      <c r="G9" s="1" t="n">
        <v>0.845542563929923</v>
      </c>
      <c r="H9" s="1" t="n">
        <v>0.879957467500571</v>
      </c>
      <c r="I9" s="1" t="n">
        <v>0.833950138026225</v>
      </c>
      <c r="J9" s="1" t="n">
        <v>0.0577865988027697</v>
      </c>
    </row>
    <row r="10" customFormat="false" ht="15" hidden="false" customHeight="false" outlineLevel="0" collapsed="false">
      <c r="A10" s="1" t="s">
        <v>1</v>
      </c>
      <c r="B10" s="1" t="s">
        <v>1</v>
      </c>
      <c r="C10" s="1" t="s">
        <v>18</v>
      </c>
      <c r="D10" s="1" t="s">
        <v>14</v>
      </c>
      <c r="E10" s="1" t="n">
        <v>0.85752688172043</v>
      </c>
      <c r="F10" s="1" t="n">
        <v>0.805340608465608</v>
      </c>
      <c r="G10" s="1" t="n">
        <v>0.824533036688343</v>
      </c>
      <c r="H10" s="1" t="n">
        <v>0.913172658300704</v>
      </c>
      <c r="I10" s="1" t="n">
        <v>0.805340608465608</v>
      </c>
      <c r="J10" s="1" t="n">
        <v>0.039792939834829</v>
      </c>
    </row>
    <row r="11" customFormat="false" ht="15" hidden="false" customHeight="false" outlineLevel="0" collapsed="false">
      <c r="A11" s="1" t="s">
        <v>32</v>
      </c>
      <c r="B11" s="1" t="s">
        <v>1</v>
      </c>
      <c r="C11" s="1" t="s">
        <v>13</v>
      </c>
      <c r="D11" s="1" t="s">
        <v>14</v>
      </c>
      <c r="E11" s="1" t="n">
        <v>0.849462365591398</v>
      </c>
      <c r="F11" s="1" t="n">
        <v>0.852280308258569</v>
      </c>
      <c r="G11" s="1" t="n">
        <v>0.839945271012922</v>
      </c>
      <c r="H11" s="1" t="n">
        <v>0.844785513135055</v>
      </c>
      <c r="I11" s="1" t="n">
        <v>0.852280308258569</v>
      </c>
      <c r="J11" s="1" t="n">
        <v>0.0404930769914661</v>
      </c>
    </row>
    <row r="12" customFormat="false" ht="15" hidden="false" customHeight="false" outlineLevel="0" collapsed="false">
      <c r="A12" s="1" t="s">
        <v>31</v>
      </c>
      <c r="B12" s="1" t="s">
        <v>1</v>
      </c>
      <c r="C12" s="1" t="s">
        <v>13</v>
      </c>
      <c r="D12" s="1" t="s">
        <v>14</v>
      </c>
      <c r="E12" s="1" t="n">
        <v>0.849462365591398</v>
      </c>
      <c r="F12" s="1" t="n">
        <v>0.843111628709455</v>
      </c>
      <c r="G12" s="1" t="n">
        <v>0.838371392514182</v>
      </c>
      <c r="H12" s="1" t="n">
        <v>0.851517452640164</v>
      </c>
      <c r="I12" s="1" t="n">
        <v>0.843111628709455</v>
      </c>
      <c r="J12" s="1" t="n">
        <v>0.0436011328956938</v>
      </c>
    </row>
    <row r="13" customFormat="false" ht="15" hidden="false" customHeight="false" outlineLevel="0" collapsed="false">
      <c r="A13" s="1" t="s">
        <v>68</v>
      </c>
      <c r="B13" s="1" t="s">
        <v>17</v>
      </c>
      <c r="C13" s="1" t="s">
        <v>13</v>
      </c>
      <c r="D13" s="1" t="s">
        <v>14</v>
      </c>
      <c r="E13" s="1" t="n">
        <v>0.846774193548387</v>
      </c>
      <c r="F13" s="1" t="n">
        <v>0.79087589141937</v>
      </c>
      <c r="G13" s="1" t="n">
        <v>0.802226611173686</v>
      </c>
      <c r="H13" s="1" t="n">
        <v>0.854323217077318</v>
      </c>
      <c r="I13" s="1" t="n">
        <v>0.79087589141937</v>
      </c>
      <c r="J13" s="1" t="n">
        <v>0.0557100182159577</v>
      </c>
    </row>
    <row r="14" customFormat="false" ht="15" hidden="false" customHeight="false" outlineLevel="0" collapsed="false">
      <c r="A14" s="1" t="s">
        <v>33</v>
      </c>
      <c r="B14" s="1" t="s">
        <v>1</v>
      </c>
      <c r="C14" s="1" t="s">
        <v>13</v>
      </c>
      <c r="D14" s="1" t="s">
        <v>14</v>
      </c>
      <c r="E14" s="1" t="n">
        <v>0.844086021505376</v>
      </c>
      <c r="F14" s="1" t="n">
        <v>0.801329940188636</v>
      </c>
      <c r="G14" s="1" t="n">
        <v>0.813576097754908</v>
      </c>
      <c r="H14" s="1" t="n">
        <v>0.868956583159117</v>
      </c>
      <c r="I14" s="1" t="n">
        <v>0.801329940188636</v>
      </c>
      <c r="J14" s="1" t="n">
        <v>0.104120430194124</v>
      </c>
    </row>
    <row r="15" customFormat="false" ht="15" hidden="false" customHeight="false" outlineLevel="0" collapsed="false">
      <c r="A15" s="1" t="s">
        <v>19</v>
      </c>
      <c r="B15" s="1" t="s">
        <v>17</v>
      </c>
      <c r="C15" s="1" t="s">
        <v>13</v>
      </c>
      <c r="D15" s="1" t="s">
        <v>14</v>
      </c>
      <c r="E15" s="1" t="n">
        <v>0.841397849462366</v>
      </c>
      <c r="F15" s="1" t="n">
        <v>0.830186047849091</v>
      </c>
      <c r="G15" s="1" t="n">
        <v>0.825907902411802</v>
      </c>
      <c r="H15" s="1" t="n">
        <v>0.839136820011514</v>
      </c>
      <c r="I15" s="1" t="n">
        <v>0.830186047849091</v>
      </c>
      <c r="J15" s="1" t="n">
        <v>0.0444929523998248</v>
      </c>
    </row>
    <row r="16" customFormat="false" ht="15" hidden="false" customHeight="false" outlineLevel="0" collapsed="false">
      <c r="A16" s="1" t="s">
        <v>71</v>
      </c>
      <c r="B16" s="1" t="s">
        <v>1</v>
      </c>
      <c r="C16" s="1" t="s">
        <v>13</v>
      </c>
      <c r="D16" s="1" t="s">
        <v>14</v>
      </c>
      <c r="E16" s="1" t="n">
        <v>0.841397849462366</v>
      </c>
      <c r="F16" s="1" t="n">
        <v>0.838661720726938</v>
      </c>
      <c r="G16" s="1" t="n">
        <v>0.823595791442098</v>
      </c>
      <c r="H16" s="1" t="n">
        <v>0.822233930381898</v>
      </c>
      <c r="I16" s="1" t="n">
        <v>0.838661720726938</v>
      </c>
      <c r="J16" s="1" t="n">
        <v>0.0345473841071281</v>
      </c>
    </row>
    <row r="17" customFormat="false" ht="15" hidden="false" customHeight="false" outlineLevel="0" collapsed="false">
      <c r="A17" s="1" t="s">
        <v>72</v>
      </c>
      <c r="B17" s="1" t="s">
        <v>1</v>
      </c>
      <c r="C17" s="1" t="s">
        <v>13</v>
      </c>
      <c r="D17" s="1" t="s">
        <v>14</v>
      </c>
      <c r="E17" s="1" t="n">
        <v>0.841397849462366</v>
      </c>
      <c r="F17" s="1" t="n">
        <v>0.844615539452496</v>
      </c>
      <c r="G17" s="1" t="n">
        <v>0.826573478441155</v>
      </c>
      <c r="H17" s="1" t="n">
        <v>0.824583272011089</v>
      </c>
      <c r="I17" s="1" t="n">
        <v>0.844615539452496</v>
      </c>
      <c r="J17" s="1" t="n">
        <v>0.0467724259968554</v>
      </c>
    </row>
    <row r="18" customFormat="false" ht="15" hidden="false" customHeight="false" outlineLevel="0" collapsed="false">
      <c r="A18" s="1" t="s">
        <v>21</v>
      </c>
      <c r="B18" s="1" t="s">
        <v>17</v>
      </c>
      <c r="C18" s="1" t="s">
        <v>13</v>
      </c>
      <c r="D18" s="1" t="s">
        <v>14</v>
      </c>
      <c r="E18" s="1" t="n">
        <v>0.833333333333333</v>
      </c>
      <c r="F18" s="1" t="n">
        <v>0.788955745341615</v>
      </c>
      <c r="G18" s="1" t="n">
        <v>0.799585075179278</v>
      </c>
      <c r="H18" s="1" t="n">
        <v>0.834095687410512</v>
      </c>
      <c r="I18" s="1" t="n">
        <v>0.788955745341615</v>
      </c>
      <c r="J18" s="1" t="n">
        <v>0.0785549742630901</v>
      </c>
    </row>
    <row r="19" customFormat="false" ht="15" hidden="false" customHeight="false" outlineLevel="0" collapsed="false">
      <c r="A19" s="1" t="s">
        <v>42</v>
      </c>
      <c r="B19" s="1" t="s">
        <v>1</v>
      </c>
      <c r="C19" s="1" t="s">
        <v>13</v>
      </c>
      <c r="D19" s="1" t="s">
        <v>14</v>
      </c>
      <c r="E19" s="1" t="n">
        <v>0.825268817204301</v>
      </c>
      <c r="F19" s="1" t="n">
        <v>0.824953991258339</v>
      </c>
      <c r="G19" s="1" t="n">
        <v>0.812959381830878</v>
      </c>
      <c r="H19" s="1" t="n">
        <v>0.813134462526625</v>
      </c>
      <c r="I19" s="1" t="n">
        <v>0.824953991258339</v>
      </c>
      <c r="J19" s="1" t="n">
        <v>0.0589385233906393</v>
      </c>
    </row>
    <row r="20" customFormat="false" ht="15" hidden="false" customHeight="false" outlineLevel="0" collapsed="false">
      <c r="A20" s="1" t="s">
        <v>20</v>
      </c>
      <c r="B20" s="1" t="s">
        <v>17</v>
      </c>
      <c r="C20" s="1" t="s">
        <v>13</v>
      </c>
      <c r="D20" s="1" t="s">
        <v>14</v>
      </c>
      <c r="E20" s="1" t="n">
        <v>0.817204301075269</v>
      </c>
      <c r="F20" s="1" t="n">
        <v>0.77781875431332</v>
      </c>
      <c r="G20" s="1" t="n">
        <v>0.780059964564707</v>
      </c>
      <c r="H20" s="1" t="n">
        <v>0.78861576988655</v>
      </c>
      <c r="I20" s="1" t="n">
        <v>0.77781875431332</v>
      </c>
      <c r="J20" s="1" t="n">
        <v>0.0775934531437637</v>
      </c>
    </row>
    <row r="21" customFormat="false" ht="15" hidden="false" customHeight="false" outlineLevel="0" collapsed="false">
      <c r="A21" s="1" t="s">
        <v>34</v>
      </c>
      <c r="B21" s="1" t="s">
        <v>17</v>
      </c>
      <c r="C21" s="1" t="s">
        <v>13</v>
      </c>
      <c r="D21" s="1" t="s">
        <v>14</v>
      </c>
      <c r="E21" s="1" t="n">
        <v>0.801075268817204</v>
      </c>
      <c r="F21" s="1" t="n">
        <v>0.753801472279733</v>
      </c>
      <c r="G21" s="1" t="n">
        <v>0.743609090930482</v>
      </c>
      <c r="H21" s="1" t="n">
        <v>0.781011713555573</v>
      </c>
      <c r="I21" s="1" t="n">
        <v>0.753801472279733</v>
      </c>
      <c r="J21" s="1" t="n">
        <v>0.0929326738435421</v>
      </c>
    </row>
    <row r="22" customFormat="false" ht="15" hidden="false" customHeight="false" outlineLevel="0" collapsed="false">
      <c r="A22" s="1" t="s">
        <v>69</v>
      </c>
      <c r="B22" s="1" t="s">
        <v>1</v>
      </c>
      <c r="C22" s="1" t="s">
        <v>13</v>
      </c>
      <c r="D22" s="1" t="s">
        <v>14</v>
      </c>
      <c r="E22" s="1" t="n">
        <v>0.801075268817204</v>
      </c>
      <c r="F22" s="1" t="n">
        <v>0.775971215780999</v>
      </c>
      <c r="G22" s="1" t="n">
        <v>0.749951944809424</v>
      </c>
      <c r="H22" s="1" t="n">
        <v>0.765550439527842</v>
      </c>
      <c r="I22" s="1" t="n">
        <v>0.775971215780999</v>
      </c>
      <c r="J22" s="1" t="n">
        <v>0.124509282418639</v>
      </c>
    </row>
    <row r="23" customFormat="false" ht="15" hidden="false" customHeight="false" outlineLevel="0" collapsed="false">
      <c r="A23" s="1" t="s">
        <v>64</v>
      </c>
      <c r="B23" s="1" t="s">
        <v>23</v>
      </c>
      <c r="C23" s="1" t="s">
        <v>13</v>
      </c>
      <c r="D23" s="1" t="s">
        <v>14</v>
      </c>
      <c r="E23" s="1" t="n">
        <v>0.795698924731183</v>
      </c>
      <c r="F23" s="1" t="n">
        <v>0.780920749942489</v>
      </c>
      <c r="G23" s="1" t="n">
        <v>0.771879696192318</v>
      </c>
      <c r="H23" s="1" t="n">
        <v>0.775535920955687</v>
      </c>
      <c r="I23" s="1" t="n">
        <v>0.780920749942489</v>
      </c>
      <c r="J23" s="1" t="n">
        <v>0.045254461634117</v>
      </c>
    </row>
    <row r="24" customFormat="false" ht="15" hidden="false" customHeight="false" outlineLevel="0" collapsed="false">
      <c r="A24" s="1" t="s">
        <v>65</v>
      </c>
      <c r="B24" s="1" t="s">
        <v>17</v>
      </c>
      <c r="C24" s="1" t="s">
        <v>13</v>
      </c>
      <c r="D24" s="1" t="s">
        <v>14</v>
      </c>
      <c r="E24" s="1" t="n">
        <v>0.793010752688172</v>
      </c>
      <c r="F24" s="1" t="n">
        <v>0.765283528870485</v>
      </c>
      <c r="G24" s="1" t="n">
        <v>0.769201288683391</v>
      </c>
      <c r="H24" s="1" t="n">
        <v>0.788006939136802</v>
      </c>
      <c r="I24" s="1" t="n">
        <v>0.765283528870485</v>
      </c>
      <c r="J24" s="1" t="n">
        <v>0.0768127171949856</v>
      </c>
    </row>
    <row r="25" customFormat="false" ht="15" hidden="false" customHeight="false" outlineLevel="0" collapsed="false">
      <c r="A25" s="1" t="s">
        <v>29</v>
      </c>
      <c r="B25" s="1" t="s">
        <v>17</v>
      </c>
      <c r="C25" s="1" t="s">
        <v>13</v>
      </c>
      <c r="D25" s="1" t="s">
        <v>14</v>
      </c>
      <c r="E25" s="1" t="n">
        <v>0.790322580645161</v>
      </c>
      <c r="F25" s="1" t="n">
        <v>0.760952237175063</v>
      </c>
      <c r="G25" s="1" t="n">
        <v>0.757526744534209</v>
      </c>
      <c r="H25" s="1" t="n">
        <v>0.794169373079602</v>
      </c>
      <c r="I25" s="1" t="n">
        <v>0.760952237175063</v>
      </c>
      <c r="J25" s="1" t="n">
        <v>0.0420348280784618</v>
      </c>
    </row>
    <row r="26" customFormat="false" ht="15" hidden="false" customHeight="false" outlineLevel="0" collapsed="false">
      <c r="A26" s="1" t="s">
        <v>40</v>
      </c>
      <c r="B26" s="1" t="s">
        <v>1</v>
      </c>
      <c r="C26" s="1" t="s">
        <v>13</v>
      </c>
      <c r="D26" s="1" t="s">
        <v>14</v>
      </c>
      <c r="E26" s="1" t="n">
        <v>0.774193548387097</v>
      </c>
      <c r="F26" s="1" t="n">
        <v>0.793277691511387</v>
      </c>
      <c r="G26" s="1" t="n">
        <v>0.759667254627097</v>
      </c>
      <c r="H26" s="1" t="n">
        <v>0.761069034806247</v>
      </c>
      <c r="I26" s="1" t="n">
        <v>0.793277691511387</v>
      </c>
      <c r="J26" s="1" t="n">
        <v>0.0738798286628428</v>
      </c>
    </row>
    <row r="27" customFormat="false" ht="15" hidden="false" customHeight="false" outlineLevel="0" collapsed="false">
      <c r="A27" s="1" t="s">
        <v>22</v>
      </c>
      <c r="B27" s="1" t="s">
        <v>23</v>
      </c>
      <c r="C27" s="1" t="s">
        <v>13</v>
      </c>
      <c r="D27" s="1" t="s">
        <v>14</v>
      </c>
      <c r="E27" s="1" t="n">
        <v>0.741935483870968</v>
      </c>
      <c r="F27" s="1" t="n">
        <v>0.715009633080285</v>
      </c>
      <c r="G27" s="1" t="n">
        <v>0.710959335589108</v>
      </c>
      <c r="H27" s="1" t="n">
        <v>0.723739755350167</v>
      </c>
      <c r="I27" s="1" t="n">
        <v>0.715009633080285</v>
      </c>
      <c r="J27" s="1" t="n">
        <v>0.0526067089424222</v>
      </c>
    </row>
    <row r="28" customFormat="false" ht="15" hidden="false" customHeight="false" outlineLevel="0" collapsed="false">
      <c r="A28" s="1" t="s">
        <v>61</v>
      </c>
      <c r="B28" s="1" t="s">
        <v>23</v>
      </c>
      <c r="C28" s="1" t="s">
        <v>13</v>
      </c>
      <c r="D28" s="1" t="s">
        <v>14</v>
      </c>
      <c r="E28" s="1" t="n">
        <v>0.739247311827957</v>
      </c>
      <c r="F28" s="1" t="n">
        <v>0.753762652403957</v>
      </c>
      <c r="G28" s="1" t="n">
        <v>0.738657289605038</v>
      </c>
      <c r="H28" s="1" t="n">
        <v>0.740173466028491</v>
      </c>
      <c r="I28" s="1" t="n">
        <v>0.753762652403957</v>
      </c>
      <c r="J28" s="1" t="n">
        <v>0.080125180642711</v>
      </c>
    </row>
    <row r="29" customFormat="false" ht="15" hidden="false" customHeight="false" outlineLevel="0" collapsed="false">
      <c r="A29" s="1" t="s">
        <v>27</v>
      </c>
      <c r="B29" s="1" t="s">
        <v>23</v>
      </c>
      <c r="C29" s="1" t="s">
        <v>13</v>
      </c>
      <c r="D29" s="1" t="s">
        <v>14</v>
      </c>
      <c r="E29" s="1" t="n">
        <v>0.725806451612903</v>
      </c>
      <c r="F29" s="1" t="n">
        <v>0.704725241545894</v>
      </c>
      <c r="G29" s="1" t="n">
        <v>0.694129557528317</v>
      </c>
      <c r="H29" s="1" t="n">
        <v>0.70145027498897</v>
      </c>
      <c r="I29" s="1" t="n">
        <v>0.704725241545894</v>
      </c>
      <c r="J29" s="1" t="n">
        <v>0.110340060546165</v>
      </c>
    </row>
    <row r="30" customFormat="false" ht="15" hidden="false" customHeight="false" outlineLevel="0" collapsed="false">
      <c r="A30" s="1" t="s">
        <v>24</v>
      </c>
      <c r="B30" s="1" t="s">
        <v>23</v>
      </c>
      <c r="C30" s="1" t="s">
        <v>13</v>
      </c>
      <c r="D30" s="1" t="s">
        <v>14</v>
      </c>
      <c r="E30" s="1" t="n">
        <v>0.720430107526882</v>
      </c>
      <c r="F30" s="1" t="n">
        <v>0.699042443064182</v>
      </c>
      <c r="G30" s="1" t="n">
        <v>0.700599087820696</v>
      </c>
      <c r="H30" s="1" t="n">
        <v>0.712784977508208</v>
      </c>
      <c r="I30" s="1" t="n">
        <v>0.699042443064182</v>
      </c>
      <c r="J30" s="1" t="n">
        <v>0.0365712770994082</v>
      </c>
    </row>
    <row r="31" customFormat="false" ht="15" hidden="false" customHeight="false" outlineLevel="0" collapsed="false">
      <c r="A31" s="1" t="s">
        <v>23</v>
      </c>
      <c r="B31" s="1" t="s">
        <v>23</v>
      </c>
      <c r="C31" s="1" t="s">
        <v>18</v>
      </c>
      <c r="D31" s="1" t="s">
        <v>14</v>
      </c>
      <c r="E31" s="1" t="n">
        <v>0.701612903225807</v>
      </c>
      <c r="F31" s="1" t="n">
        <v>0.658009115481942</v>
      </c>
      <c r="G31" s="1" t="n">
        <v>0.659842051527974</v>
      </c>
      <c r="H31" s="1" t="n">
        <v>0.695987439847734</v>
      </c>
      <c r="I31" s="1" t="n">
        <v>0.658009115481942</v>
      </c>
      <c r="J31" s="1" t="n">
        <v>0.0404297260672087</v>
      </c>
    </row>
    <row r="32" customFormat="false" ht="15" hidden="false" customHeight="false" outlineLevel="0" collapsed="false">
      <c r="A32" s="1" t="s">
        <v>26</v>
      </c>
      <c r="B32" s="1" t="s">
        <v>26</v>
      </c>
      <c r="C32" s="1" t="s">
        <v>18</v>
      </c>
      <c r="D32" s="1" t="s">
        <v>14</v>
      </c>
      <c r="E32" s="1" t="n">
        <v>0.698924731182796</v>
      </c>
      <c r="F32" s="1" t="n">
        <v>0.685649585921325</v>
      </c>
      <c r="G32" s="1" t="n">
        <v>0.679859760607523</v>
      </c>
      <c r="H32" s="1" t="n">
        <v>0.772815782915421</v>
      </c>
      <c r="I32" s="1" t="n">
        <v>0.685649585921325</v>
      </c>
      <c r="J32" s="1" t="n">
        <v>0.054376482016697</v>
      </c>
    </row>
    <row r="33" customFormat="false" ht="15" hidden="false" customHeight="false" outlineLevel="0" collapsed="false">
      <c r="A33" s="1" t="s">
        <v>45</v>
      </c>
      <c r="B33" s="1" t="s">
        <v>1</v>
      </c>
      <c r="C33" s="1" t="s">
        <v>13</v>
      </c>
      <c r="D33" s="1" t="s">
        <v>14</v>
      </c>
      <c r="E33" s="1" t="n">
        <v>0.690860215053764</v>
      </c>
      <c r="F33" s="1" t="n">
        <v>0.740450310559006</v>
      </c>
      <c r="G33" s="1" t="n">
        <v>0.682212574503102</v>
      </c>
      <c r="H33" s="1" t="n">
        <v>0.729581647424518</v>
      </c>
      <c r="I33" s="1" t="n">
        <v>0.740450310559006</v>
      </c>
      <c r="J33" s="1" t="n">
        <v>0.100159011140334</v>
      </c>
    </row>
    <row r="34" customFormat="false" ht="15" hidden="false" customHeight="false" outlineLevel="0" collapsed="false">
      <c r="A34" s="1" t="s">
        <v>37</v>
      </c>
      <c r="B34" s="1" t="s">
        <v>23</v>
      </c>
      <c r="C34" s="1" t="s">
        <v>13</v>
      </c>
      <c r="D34" s="1" t="s">
        <v>14</v>
      </c>
      <c r="E34" s="1" t="n">
        <v>0.688172043010753</v>
      </c>
      <c r="F34" s="1" t="n">
        <v>0.668054836668967</v>
      </c>
      <c r="G34" s="1" t="n">
        <v>0.657901585275757</v>
      </c>
      <c r="H34" s="1" t="n">
        <v>0.671967475493313</v>
      </c>
      <c r="I34" s="1" t="n">
        <v>0.668054836668967</v>
      </c>
      <c r="J34" s="1" t="n">
        <v>0.0774024028307816</v>
      </c>
    </row>
    <row r="35" customFormat="false" ht="15" hidden="false" customHeight="false" outlineLevel="0" collapsed="false">
      <c r="A35" s="1" t="s">
        <v>41</v>
      </c>
      <c r="B35" s="1" t="s">
        <v>23</v>
      </c>
      <c r="C35" s="1" t="s">
        <v>13</v>
      </c>
      <c r="D35" s="1" t="s">
        <v>14</v>
      </c>
      <c r="E35" s="1" t="n">
        <v>0.672043010752688</v>
      </c>
      <c r="F35" s="1" t="n">
        <v>0.641236053600184</v>
      </c>
      <c r="G35" s="1" t="n">
        <v>0.626443617415031</v>
      </c>
      <c r="H35" s="1" t="n">
        <v>0.644720491305209</v>
      </c>
      <c r="I35" s="1" t="n">
        <v>0.641236053600184</v>
      </c>
      <c r="J35" s="1" t="n">
        <v>0.0948785860786787</v>
      </c>
    </row>
    <row r="36" customFormat="false" ht="15" hidden="false" customHeight="false" outlineLevel="0" collapsed="false">
      <c r="A36" s="1" t="s">
        <v>44</v>
      </c>
      <c r="B36" s="1" t="s">
        <v>23</v>
      </c>
      <c r="C36" s="1" t="s">
        <v>13</v>
      </c>
      <c r="D36" s="1" t="s">
        <v>14</v>
      </c>
      <c r="E36" s="1" t="n">
        <v>0.645161290322581</v>
      </c>
      <c r="F36" s="1" t="n">
        <v>0.669318639291465</v>
      </c>
      <c r="G36" s="1" t="n">
        <v>0.635815920630159</v>
      </c>
      <c r="H36" s="1" t="n">
        <v>0.658230773855774</v>
      </c>
      <c r="I36" s="1" t="n">
        <v>0.669318639291465</v>
      </c>
      <c r="J36" s="1" t="n">
        <v>0.0827373813520363</v>
      </c>
    </row>
    <row r="37" customFormat="false" ht="15" hidden="false" customHeight="false" outlineLevel="0" collapsed="false">
      <c r="A37" s="1" t="s">
        <v>46</v>
      </c>
      <c r="B37" s="1" t="s">
        <v>23</v>
      </c>
      <c r="C37" s="1" t="s">
        <v>13</v>
      </c>
      <c r="D37" s="1" t="s">
        <v>14</v>
      </c>
      <c r="E37" s="1" t="n">
        <v>0.639784946236559</v>
      </c>
      <c r="F37" s="1" t="n">
        <v>0.649700943179204</v>
      </c>
      <c r="G37" s="1" t="n">
        <v>0.621071999896236</v>
      </c>
      <c r="H37" s="1" t="n">
        <v>0.623103800149836</v>
      </c>
      <c r="I37" s="1" t="n">
        <v>0.649700943179204</v>
      </c>
      <c r="J37" s="1" t="n">
        <v>0.0704301056559948</v>
      </c>
    </row>
    <row r="38" customFormat="false" ht="15" hidden="false" customHeight="false" outlineLevel="0" collapsed="false">
      <c r="A38" s="1" t="s">
        <v>49</v>
      </c>
      <c r="B38" s="1" t="s">
        <v>17</v>
      </c>
      <c r="C38" s="1" t="s">
        <v>13</v>
      </c>
      <c r="D38" s="1" t="s">
        <v>14</v>
      </c>
      <c r="E38" s="1" t="n">
        <v>0.626344086021505</v>
      </c>
      <c r="F38" s="1" t="n">
        <v>0.645377559236255</v>
      </c>
      <c r="G38" s="1" t="n">
        <v>0.61100918960089</v>
      </c>
      <c r="H38" s="1" t="n">
        <v>0.631809904169618</v>
      </c>
      <c r="I38" s="1" t="n">
        <v>0.645377559236255</v>
      </c>
      <c r="J38" s="1" t="n">
        <v>0.0788998824679572</v>
      </c>
    </row>
    <row r="39" customFormat="false" ht="15" hidden="false" customHeight="false" outlineLevel="0" collapsed="false">
      <c r="A39" s="1" t="s">
        <v>50</v>
      </c>
      <c r="B39" s="1" t="s">
        <v>23</v>
      </c>
      <c r="C39" s="1" t="s">
        <v>13</v>
      </c>
      <c r="D39" s="1" t="s">
        <v>14</v>
      </c>
      <c r="E39" s="1" t="n">
        <v>0.623655913978495</v>
      </c>
      <c r="F39" s="1" t="n">
        <v>0.646969893029676</v>
      </c>
      <c r="G39" s="1" t="n">
        <v>0.614726460432986</v>
      </c>
      <c r="H39" s="1" t="n">
        <v>0.632651955561962</v>
      </c>
      <c r="I39" s="1" t="n">
        <v>0.646969893029676</v>
      </c>
      <c r="J39" s="1" t="n">
        <v>0.0239808204044009</v>
      </c>
    </row>
    <row r="40" customFormat="false" ht="15" hidden="false" customHeight="false" outlineLevel="0" collapsed="false">
      <c r="A40" s="1" t="s">
        <v>62</v>
      </c>
      <c r="B40" s="1" t="s">
        <v>23</v>
      </c>
      <c r="C40" s="1" t="s">
        <v>13</v>
      </c>
      <c r="D40" s="1" t="s">
        <v>14</v>
      </c>
      <c r="E40" s="1" t="n">
        <v>0.618279569892473</v>
      </c>
      <c r="F40" s="1" t="n">
        <v>0.645442259029216</v>
      </c>
      <c r="G40" s="1" t="n">
        <v>0.602107184177294</v>
      </c>
      <c r="H40" s="1" t="n">
        <v>0.614187603153354</v>
      </c>
      <c r="I40" s="1" t="n">
        <v>0.645442259029216</v>
      </c>
      <c r="J40" s="1" t="n">
        <v>0.0932044972934812</v>
      </c>
    </row>
    <row r="41" customFormat="false" ht="15" hidden="false" customHeight="false" outlineLevel="0" collapsed="false">
      <c r="A41" s="1" t="s">
        <v>52</v>
      </c>
      <c r="B41" s="1" t="s">
        <v>23</v>
      </c>
      <c r="C41" s="1" t="s">
        <v>13</v>
      </c>
      <c r="D41" s="1" t="s">
        <v>14</v>
      </c>
      <c r="E41" s="1" t="n">
        <v>0.599462365591398</v>
      </c>
      <c r="F41" s="1" t="n">
        <v>0.64078746836899</v>
      </c>
      <c r="G41" s="1" t="n">
        <v>0.589351002642924</v>
      </c>
      <c r="H41" s="1" t="n">
        <v>0.609831061468058</v>
      </c>
      <c r="I41" s="1" t="n">
        <v>0.64078746836899</v>
      </c>
      <c r="J41" s="1" t="n">
        <v>0.0736669821899532</v>
      </c>
    </row>
    <row r="42" customFormat="false" ht="15" hidden="false" customHeight="false" outlineLevel="0" collapsed="false">
      <c r="A42" s="1" t="s">
        <v>63</v>
      </c>
      <c r="B42" s="1" t="s">
        <v>23</v>
      </c>
      <c r="C42" s="1" t="s">
        <v>13</v>
      </c>
      <c r="D42" s="1" t="s">
        <v>14</v>
      </c>
      <c r="E42" s="1" t="n">
        <v>0.580645161290323</v>
      </c>
      <c r="F42" s="1" t="n">
        <v>0.625352254428341</v>
      </c>
      <c r="G42" s="1" t="n">
        <v>0.579858542509089</v>
      </c>
      <c r="H42" s="1" t="n">
        <v>0.599333187810355</v>
      </c>
      <c r="I42" s="1" t="n">
        <v>0.625352254428341</v>
      </c>
      <c r="J42" s="1" t="n">
        <v>0.0521099204995708</v>
      </c>
    </row>
    <row r="43" customFormat="false" ht="15" hidden="false" customHeight="false" outlineLevel="0" collapsed="false">
      <c r="A43" s="1" t="s">
        <v>28</v>
      </c>
      <c r="B43" s="1" t="s">
        <v>26</v>
      </c>
      <c r="C43" s="1" t="s">
        <v>13</v>
      </c>
      <c r="D43" s="1" t="s">
        <v>14</v>
      </c>
      <c r="E43" s="1" t="n">
        <v>0.494623655913979</v>
      </c>
      <c r="F43" s="1" t="n">
        <v>0.461230446284794</v>
      </c>
      <c r="G43" s="1" t="n">
        <v>0.452564547602723</v>
      </c>
      <c r="H43" s="1" t="n">
        <v>0.562303950697314</v>
      </c>
      <c r="I43" s="1" t="n">
        <v>0.461230446284794</v>
      </c>
      <c r="J43" s="1" t="n">
        <v>0.143863210917575</v>
      </c>
    </row>
    <row r="44" customFormat="false" ht="15" hidden="false" customHeight="false" outlineLevel="0" collapsed="false">
      <c r="A44" s="1" t="s">
        <v>47</v>
      </c>
      <c r="B44" s="1" t="s">
        <v>23</v>
      </c>
      <c r="C44" s="1" t="s">
        <v>13</v>
      </c>
      <c r="D44" s="1" t="s">
        <v>14</v>
      </c>
      <c r="E44" s="1" t="n">
        <v>0.473118279569892</v>
      </c>
      <c r="F44" s="1" t="n">
        <v>0.536288676098459</v>
      </c>
      <c r="G44" s="1" t="n">
        <v>0.469495991586853</v>
      </c>
      <c r="H44" s="1" t="n">
        <v>0.505173685610572</v>
      </c>
      <c r="I44" s="1" t="n">
        <v>0.536288676098459</v>
      </c>
      <c r="J44" s="1" t="n">
        <v>0.0793521523410683</v>
      </c>
    </row>
    <row r="45" customFormat="false" ht="15" hidden="false" customHeight="false" outlineLevel="0" collapsed="false">
      <c r="A45" s="1" t="s">
        <v>57</v>
      </c>
      <c r="B45" s="1" t="s">
        <v>26</v>
      </c>
      <c r="C45" s="1" t="s">
        <v>13</v>
      </c>
      <c r="D45" s="1" t="s">
        <v>14</v>
      </c>
      <c r="E45" s="1" t="n">
        <v>0.467741935483871</v>
      </c>
      <c r="F45" s="1" t="n">
        <v>0.423291925465839</v>
      </c>
      <c r="G45" s="1" t="n">
        <v>0.42057978996385</v>
      </c>
      <c r="H45" s="1" t="n">
        <v>0.599942706419927</v>
      </c>
      <c r="I45" s="1" t="n">
        <v>0.423291925465839</v>
      </c>
      <c r="J45" s="1" t="n">
        <v>0.123093489609507</v>
      </c>
    </row>
    <row r="46" customFormat="false" ht="15" hidden="false" customHeight="false" outlineLevel="0" collapsed="false">
      <c r="A46" s="1" t="s">
        <v>36</v>
      </c>
      <c r="B46" s="1" t="s">
        <v>26</v>
      </c>
      <c r="C46" s="1" t="s">
        <v>13</v>
      </c>
      <c r="D46" s="1" t="s">
        <v>14</v>
      </c>
      <c r="E46" s="1" t="n">
        <v>0.46236559139785</v>
      </c>
      <c r="F46" s="1" t="n">
        <v>0.391660915573959</v>
      </c>
      <c r="G46" s="1" t="n">
        <v>0.338812285215848</v>
      </c>
      <c r="H46" s="1" t="n">
        <v>0.3913396028499</v>
      </c>
      <c r="I46" s="1" t="n">
        <v>0.391660915573959</v>
      </c>
      <c r="J46" s="1" t="n">
        <v>0.1494600106471</v>
      </c>
    </row>
    <row r="47" customFormat="false" ht="15" hidden="false" customHeight="false" outlineLevel="0" collapsed="false">
      <c r="A47" s="1" t="s">
        <v>60</v>
      </c>
      <c r="B47" s="1" t="s">
        <v>26</v>
      </c>
      <c r="C47" s="1" t="s">
        <v>13</v>
      </c>
      <c r="D47" s="1" t="s">
        <v>14</v>
      </c>
      <c r="E47" s="1" t="n">
        <v>0.459677419354839</v>
      </c>
      <c r="F47" s="1" t="n">
        <v>0.408254255808604</v>
      </c>
      <c r="G47" s="1" t="n">
        <v>0.357407563821941</v>
      </c>
      <c r="H47" s="1" t="n">
        <v>0.426633175199905</v>
      </c>
      <c r="I47" s="1" t="n">
        <v>0.408254255808604</v>
      </c>
      <c r="J47" s="1" t="n">
        <v>0.115739115484796</v>
      </c>
    </row>
    <row r="48" customFormat="false" ht="15" hidden="false" customHeight="false" outlineLevel="0" collapsed="false">
      <c r="A48" s="1" t="s">
        <v>39</v>
      </c>
      <c r="B48" s="1" t="s">
        <v>26</v>
      </c>
      <c r="C48" s="1" t="s">
        <v>13</v>
      </c>
      <c r="D48" s="1" t="s">
        <v>14</v>
      </c>
      <c r="E48" s="1" t="n">
        <v>0.451612903225807</v>
      </c>
      <c r="F48" s="1" t="n">
        <v>0.424437111801242</v>
      </c>
      <c r="G48" s="1" t="n">
        <v>0.397835228566512</v>
      </c>
      <c r="H48" s="1" t="n">
        <v>0.493964440379882</v>
      </c>
      <c r="I48" s="1" t="n">
        <v>0.424437111801242</v>
      </c>
      <c r="J48" s="1" t="n">
        <v>0.13127450121105</v>
      </c>
    </row>
    <row r="49" customFormat="false" ht="15" hidden="false" customHeight="false" outlineLevel="0" collapsed="false">
      <c r="A49" s="1" t="s">
        <v>30</v>
      </c>
      <c r="B49" s="1" t="s">
        <v>26</v>
      </c>
      <c r="C49" s="1" t="s">
        <v>13</v>
      </c>
      <c r="D49" s="1" t="s">
        <v>14</v>
      </c>
      <c r="E49" s="1" t="n">
        <v>0.451612903225806</v>
      </c>
      <c r="F49" s="1" t="n">
        <v>0.375830314009662</v>
      </c>
      <c r="G49" s="1" t="n">
        <v>0.340111780300336</v>
      </c>
      <c r="H49" s="1" t="n">
        <v>0.448488255956168</v>
      </c>
      <c r="I49" s="1" t="n">
        <v>0.375830314009662</v>
      </c>
      <c r="J49" s="1" t="n">
        <v>0.084641109137516</v>
      </c>
    </row>
    <row r="50" customFormat="false" ht="15" hidden="false" customHeight="false" outlineLevel="0" collapsed="false">
      <c r="A50" s="1" t="s">
        <v>58</v>
      </c>
      <c r="B50" s="1" t="s">
        <v>26</v>
      </c>
      <c r="C50" s="1" t="s">
        <v>13</v>
      </c>
      <c r="D50" s="1" t="s">
        <v>14</v>
      </c>
      <c r="E50" s="1" t="n">
        <v>0.446236559139785</v>
      </c>
      <c r="F50" s="1" t="n">
        <v>0.423215004600874</v>
      </c>
      <c r="G50" s="1" t="n">
        <v>0.389891629293152</v>
      </c>
      <c r="H50" s="1" t="n">
        <v>0.52834398317339</v>
      </c>
      <c r="I50" s="1" t="n">
        <v>0.423215004600874</v>
      </c>
      <c r="J50" s="1" t="n">
        <v>0.0991034120012293</v>
      </c>
    </row>
    <row r="51" customFormat="false" ht="15" hidden="false" customHeight="false" outlineLevel="0" collapsed="false">
      <c r="A51" s="1" t="s">
        <v>25</v>
      </c>
      <c r="B51" s="1" t="s">
        <v>26</v>
      </c>
      <c r="C51" s="1" t="s">
        <v>13</v>
      </c>
      <c r="D51" s="1" t="s">
        <v>14</v>
      </c>
      <c r="E51" s="1" t="n">
        <v>0.440860215053764</v>
      </c>
      <c r="F51" s="1" t="n">
        <v>0.417570307108351</v>
      </c>
      <c r="G51" s="1" t="n">
        <v>0.386619028586849</v>
      </c>
      <c r="H51" s="1" t="n">
        <v>0.491194459904728</v>
      </c>
      <c r="I51" s="1" t="n">
        <v>0.417570307108351</v>
      </c>
      <c r="J51" s="1" t="n">
        <v>0.101187583263488</v>
      </c>
    </row>
    <row r="52" customFormat="false" ht="15" hidden="false" customHeight="false" outlineLevel="0" collapsed="false">
      <c r="A52" s="1" t="s">
        <v>38</v>
      </c>
      <c r="B52" s="1" t="s">
        <v>26</v>
      </c>
      <c r="C52" s="1" t="s">
        <v>13</v>
      </c>
      <c r="D52" s="1" t="s">
        <v>14</v>
      </c>
      <c r="E52" s="1" t="n">
        <v>0.438172043010753</v>
      </c>
      <c r="F52" s="1" t="n">
        <v>0.435112577639752</v>
      </c>
      <c r="G52" s="1" t="n">
        <v>0.422940899115108</v>
      </c>
      <c r="H52" s="1" t="n">
        <v>0.502831981683496</v>
      </c>
      <c r="I52" s="1" t="n">
        <v>0.435112577639752</v>
      </c>
      <c r="J52" s="1" t="n">
        <v>0.129087528989677</v>
      </c>
    </row>
    <row r="53" customFormat="false" ht="15" hidden="false" customHeight="false" outlineLevel="0" collapsed="false">
      <c r="A53" s="1" t="s">
        <v>53</v>
      </c>
      <c r="B53" s="1" t="s">
        <v>17</v>
      </c>
      <c r="C53" s="1" t="s">
        <v>13</v>
      </c>
      <c r="D53" s="1" t="s">
        <v>14</v>
      </c>
      <c r="E53" s="1" t="n">
        <v>0.379032258064516</v>
      </c>
      <c r="F53" s="1" t="n">
        <v>0.25</v>
      </c>
      <c r="G53" s="1" t="n">
        <v>0.137414500683995</v>
      </c>
      <c r="H53" s="1" t="n">
        <v>0.094758064516129</v>
      </c>
      <c r="I53" s="1" t="n">
        <v>0.25</v>
      </c>
      <c r="J53" s="1" t="n">
        <v>0.0021203830369357</v>
      </c>
    </row>
    <row r="54" customFormat="false" ht="15" hidden="false" customHeight="false" outlineLevel="0" collapsed="false">
      <c r="A54" s="1" t="s">
        <v>54</v>
      </c>
      <c r="B54" s="1" t="s">
        <v>17</v>
      </c>
      <c r="C54" s="1" t="s">
        <v>13</v>
      </c>
      <c r="D54" s="1" t="s">
        <v>14</v>
      </c>
      <c r="E54" s="1" t="n">
        <v>0.379032258064516</v>
      </c>
      <c r="F54" s="1" t="n">
        <v>0.25</v>
      </c>
      <c r="G54" s="1" t="n">
        <v>0.137414500683995</v>
      </c>
      <c r="H54" s="1" t="n">
        <v>0.094758064516129</v>
      </c>
      <c r="I54" s="1" t="n">
        <v>0.25</v>
      </c>
      <c r="J54" s="1" t="n">
        <v>0.0021203830369357</v>
      </c>
    </row>
    <row r="55" customFormat="false" ht="15" hidden="false" customHeight="false" outlineLevel="0" collapsed="false">
      <c r="A55" s="1" t="s">
        <v>55</v>
      </c>
      <c r="B55" s="1" t="s">
        <v>17</v>
      </c>
      <c r="C55" s="1" t="s">
        <v>13</v>
      </c>
      <c r="D55" s="1" t="s">
        <v>14</v>
      </c>
      <c r="E55" s="1" t="n">
        <v>0.379032258064516</v>
      </c>
      <c r="F55" s="1" t="n">
        <v>0.25</v>
      </c>
      <c r="G55" s="1" t="n">
        <v>0.137414500683995</v>
      </c>
      <c r="H55" s="1" t="n">
        <v>0.094758064516129</v>
      </c>
      <c r="I55" s="1" t="n">
        <v>0.25</v>
      </c>
      <c r="J55" s="1" t="n">
        <v>0.0021203830369357</v>
      </c>
    </row>
    <row r="56" customFormat="false" ht="15" hidden="false" customHeight="false" outlineLevel="0" collapsed="false">
      <c r="A56" s="1" t="s">
        <v>56</v>
      </c>
      <c r="B56" s="1" t="s">
        <v>17</v>
      </c>
      <c r="C56" s="1" t="s">
        <v>13</v>
      </c>
      <c r="D56" s="1" t="s">
        <v>14</v>
      </c>
      <c r="E56" s="1" t="n">
        <v>0.379032258064516</v>
      </c>
      <c r="F56" s="1" t="n">
        <v>0.25</v>
      </c>
      <c r="G56" s="1" t="n">
        <v>0.137414500683995</v>
      </c>
      <c r="H56" s="1" t="n">
        <v>0.094758064516129</v>
      </c>
      <c r="I56" s="1" t="n">
        <v>0.25</v>
      </c>
      <c r="J56" s="1" t="n">
        <v>0.0021203830369357</v>
      </c>
    </row>
    <row r="57" customFormat="false" ht="15" hidden="false" customHeight="false" outlineLevel="0" collapsed="false">
      <c r="A57" s="1" t="s">
        <v>66</v>
      </c>
      <c r="B57" s="1" t="s">
        <v>17</v>
      </c>
      <c r="C57" s="1" t="s">
        <v>13</v>
      </c>
      <c r="D57" s="1" t="s">
        <v>14</v>
      </c>
      <c r="E57" s="1" t="n">
        <v>0.379032258064516</v>
      </c>
      <c r="F57" s="1" t="n">
        <v>0.25</v>
      </c>
      <c r="G57" s="1" t="n">
        <v>0.137414500683995</v>
      </c>
      <c r="H57" s="1" t="n">
        <v>0.094758064516129</v>
      </c>
      <c r="I57" s="1" t="n">
        <v>0.25</v>
      </c>
      <c r="J57" s="1" t="n">
        <v>0.0021203830369357</v>
      </c>
    </row>
    <row r="58" customFormat="false" ht="15" hidden="false" customHeight="false" outlineLevel="0" collapsed="false">
      <c r="A58" s="1" t="s">
        <v>67</v>
      </c>
      <c r="B58" s="1" t="s">
        <v>17</v>
      </c>
      <c r="C58" s="1" t="s">
        <v>13</v>
      </c>
      <c r="D58" s="1" t="s">
        <v>14</v>
      </c>
      <c r="E58" s="1" t="n">
        <v>0.379032258064516</v>
      </c>
      <c r="F58" s="1" t="n">
        <v>0.25</v>
      </c>
      <c r="G58" s="1" t="n">
        <v>0.137414500683995</v>
      </c>
      <c r="H58" s="1" t="n">
        <v>0.094758064516129</v>
      </c>
      <c r="I58" s="1" t="n">
        <v>0.25</v>
      </c>
      <c r="J58" s="1" t="n">
        <v>0.0021203830369357</v>
      </c>
    </row>
    <row r="59" customFormat="false" ht="15" hidden="false" customHeight="false" outlineLevel="0" collapsed="false">
      <c r="A59" s="1" t="s">
        <v>35</v>
      </c>
      <c r="B59" s="1" t="s">
        <v>26</v>
      </c>
      <c r="C59" s="1" t="s">
        <v>13</v>
      </c>
      <c r="D59" s="1" t="s">
        <v>14</v>
      </c>
      <c r="E59" s="1" t="n">
        <v>0.373655913978495</v>
      </c>
      <c r="F59" s="1" t="n">
        <v>0.287861599953991</v>
      </c>
      <c r="G59" s="1" t="n">
        <v>0.23537206648596</v>
      </c>
      <c r="H59" s="1" t="n">
        <v>0.316215332268684</v>
      </c>
      <c r="I59" s="1" t="n">
        <v>0.287861599953991</v>
      </c>
      <c r="J59" s="1" t="n">
        <v>0.0604723861888988</v>
      </c>
    </row>
    <row r="60" customFormat="false" ht="15" hidden="false" customHeight="false" outlineLevel="0" collapsed="false">
      <c r="A60" s="1" t="s">
        <v>43</v>
      </c>
      <c r="B60" s="1" t="s">
        <v>26</v>
      </c>
      <c r="C60" s="1" t="s">
        <v>13</v>
      </c>
      <c r="D60" s="1" t="s">
        <v>14</v>
      </c>
      <c r="E60" s="1" t="n">
        <v>0.360215053763441</v>
      </c>
      <c r="F60" s="1" t="n">
        <v>0.335541034046469</v>
      </c>
      <c r="G60" s="1" t="n">
        <v>0.331127101811848</v>
      </c>
      <c r="H60" s="1" t="n">
        <v>0.515857147261588</v>
      </c>
      <c r="I60" s="1" t="n">
        <v>0.335541034046469</v>
      </c>
      <c r="J60" s="1" t="n">
        <v>0.0201665462711148</v>
      </c>
    </row>
    <row r="61" customFormat="false" ht="15" hidden="false" customHeight="false" outlineLevel="0" collapsed="false">
      <c r="A61" s="1" t="s">
        <v>48</v>
      </c>
      <c r="B61" s="1" t="s">
        <v>26</v>
      </c>
      <c r="C61" s="1" t="s">
        <v>13</v>
      </c>
      <c r="D61" s="1" t="s">
        <v>14</v>
      </c>
      <c r="E61" s="1" t="n">
        <v>0.338709677419355</v>
      </c>
      <c r="F61" s="1" t="n">
        <v>0.309807769726248</v>
      </c>
      <c r="G61" s="1" t="n">
        <v>0.26791375520815</v>
      </c>
      <c r="H61" s="1" t="n">
        <v>0.34023203970474</v>
      </c>
      <c r="I61" s="1" t="n">
        <v>0.309807769726248</v>
      </c>
      <c r="J61" s="1" t="n">
        <v>0.0812813154370557</v>
      </c>
    </row>
    <row r="62" customFormat="false" ht="15" hidden="false" customHeight="false" outlineLevel="0" collapsed="false">
      <c r="A62" s="1" t="s">
        <v>59</v>
      </c>
      <c r="B62" s="1" t="s">
        <v>26</v>
      </c>
      <c r="C62" s="1" t="s">
        <v>13</v>
      </c>
      <c r="D62" s="1" t="s">
        <v>14</v>
      </c>
      <c r="E62" s="1" t="n">
        <v>0.333333333333333</v>
      </c>
      <c r="F62" s="1" t="n">
        <v>0.296502616747182</v>
      </c>
      <c r="G62" s="1" t="n">
        <v>0.255874770768846</v>
      </c>
      <c r="H62" s="1" t="n">
        <v>0.376939498077507</v>
      </c>
      <c r="I62" s="1" t="n">
        <v>0.296502616747182</v>
      </c>
      <c r="J62" s="1" t="n">
        <v>0.0397646662182331</v>
      </c>
    </row>
    <row r="63" customFormat="false" ht="15" hidden="false" customHeight="false" outlineLevel="0" collapsed="false">
      <c r="A63" s="1" t="s">
        <v>51</v>
      </c>
      <c r="B63" s="1" t="s">
        <v>26</v>
      </c>
      <c r="C63" s="1" t="s">
        <v>13</v>
      </c>
      <c r="D63" s="1" t="s">
        <v>14</v>
      </c>
      <c r="E63" s="1" t="n">
        <v>0.298387096774194</v>
      </c>
      <c r="F63" s="1" t="n">
        <v>0.404574275362319</v>
      </c>
      <c r="G63" s="1" t="n">
        <v>0.308351083970166</v>
      </c>
      <c r="H63" s="1" t="n">
        <v>0.433005389076818</v>
      </c>
      <c r="I63" s="1" t="n">
        <v>0.404574275362319</v>
      </c>
      <c r="J63" s="1" t="n">
        <v>0.0603857900963187</v>
      </c>
    </row>
    <row r="64" customFormat="false" ht="15" hidden="false" customHeight="false" outlineLevel="0" collapsed="false">
      <c r="A64" s="1" t="s">
        <v>15</v>
      </c>
      <c r="B64" s="1" t="s">
        <v>1</v>
      </c>
      <c r="C64" s="1" t="s">
        <v>13</v>
      </c>
      <c r="D64" s="1" t="s">
        <v>74</v>
      </c>
      <c r="E64" s="1" t="n">
        <v>0.908602150537634</v>
      </c>
      <c r="F64" s="1" t="n">
        <v>0.883784794110881</v>
      </c>
      <c r="G64" s="1" t="n">
        <v>0.895474837280494</v>
      </c>
      <c r="H64" s="1" t="n">
        <v>0.920462910680302</v>
      </c>
      <c r="I64" s="1" t="n">
        <v>0.883784794110881</v>
      </c>
      <c r="J64" s="1" t="n">
        <v>0.0337678295055797</v>
      </c>
    </row>
    <row r="65" customFormat="false" ht="15" hidden="false" customHeight="false" outlineLevel="0" collapsed="false">
      <c r="A65" s="1" t="s">
        <v>16</v>
      </c>
      <c r="B65" s="1" t="s">
        <v>1</v>
      </c>
      <c r="C65" s="1" t="s">
        <v>13</v>
      </c>
      <c r="D65" s="1" t="s">
        <v>74</v>
      </c>
      <c r="E65" s="1" t="n">
        <v>0.905913978494624</v>
      </c>
      <c r="F65" s="1" t="n">
        <v>0.880239964343225</v>
      </c>
      <c r="G65" s="1" t="n">
        <v>0.894212936024636</v>
      </c>
      <c r="H65" s="1" t="n">
        <v>0.922774990709773</v>
      </c>
      <c r="I65" s="1" t="n">
        <v>0.880239964343225</v>
      </c>
      <c r="J65" s="1" t="n">
        <v>0.0471943507975019</v>
      </c>
    </row>
    <row r="66" customFormat="false" ht="15" hidden="false" customHeight="false" outlineLevel="0" collapsed="false">
      <c r="A66" s="1" t="s">
        <v>73</v>
      </c>
      <c r="B66" s="1" t="s">
        <v>1</v>
      </c>
      <c r="C66" s="1" t="s">
        <v>13</v>
      </c>
      <c r="D66" s="1" t="s">
        <v>74</v>
      </c>
      <c r="E66" s="1" t="n">
        <v>0.900537634408602</v>
      </c>
      <c r="F66" s="1" t="n">
        <v>0.875467995169082</v>
      </c>
      <c r="G66" s="1" t="n">
        <v>0.887205839279479</v>
      </c>
      <c r="H66" s="1" t="n">
        <v>0.908353612355806</v>
      </c>
      <c r="I66" s="1" t="n">
        <v>0.875467995169082</v>
      </c>
      <c r="J66" s="1" t="n">
        <v>0.0572414491860279</v>
      </c>
    </row>
    <row r="67" customFormat="false" ht="15" hidden="false" customHeight="false" outlineLevel="0" collapsed="false">
      <c r="A67" s="1" t="s">
        <v>12</v>
      </c>
      <c r="B67" s="1" t="s">
        <v>1</v>
      </c>
      <c r="C67" s="1" t="s">
        <v>13</v>
      </c>
      <c r="D67" s="1" t="s">
        <v>74</v>
      </c>
      <c r="E67" s="1" t="n">
        <v>0.897849462365591</v>
      </c>
      <c r="F67" s="1" t="n">
        <v>0.860967333793421</v>
      </c>
      <c r="G67" s="1" t="n">
        <v>0.875386978687771</v>
      </c>
      <c r="H67" s="1" t="n">
        <v>0.910336788180038</v>
      </c>
      <c r="I67" s="1" t="n">
        <v>0.860967333793421</v>
      </c>
      <c r="J67" s="1" t="n">
        <v>0.0277929949524996</v>
      </c>
    </row>
    <row r="68" customFormat="false" ht="15" hidden="false" customHeight="false" outlineLevel="0" collapsed="false">
      <c r="A68" s="1" t="s">
        <v>1</v>
      </c>
      <c r="B68" s="1" t="s">
        <v>1</v>
      </c>
      <c r="C68" s="1" t="s">
        <v>18</v>
      </c>
      <c r="D68" s="1" t="s">
        <v>74</v>
      </c>
      <c r="E68" s="1" t="n">
        <v>0.879032258064516</v>
      </c>
      <c r="F68" s="1" t="n">
        <v>0.841468253968254</v>
      </c>
      <c r="G68" s="1" t="n">
        <v>0.858499651469926</v>
      </c>
      <c r="H68" s="1" t="n">
        <v>0.907671780129944</v>
      </c>
      <c r="I68" s="1" t="n">
        <v>0.841468253968254</v>
      </c>
      <c r="J68" s="1" t="n">
        <v>0.0297545992931254</v>
      </c>
    </row>
    <row r="69" customFormat="false" ht="15" hidden="false" customHeight="false" outlineLevel="0" collapsed="false">
      <c r="A69" s="1" t="s">
        <v>70</v>
      </c>
      <c r="B69" s="1" t="s">
        <v>1</v>
      </c>
      <c r="C69" s="1" t="s">
        <v>13</v>
      </c>
      <c r="D69" s="1" t="s">
        <v>74</v>
      </c>
      <c r="E69" s="1" t="n">
        <v>0.876344086021505</v>
      </c>
      <c r="F69" s="1" t="n">
        <v>0.848285455486542</v>
      </c>
      <c r="G69" s="1" t="n">
        <v>0.855638399372898</v>
      </c>
      <c r="H69" s="1" t="n">
        <v>0.880051681410377</v>
      </c>
      <c r="I69" s="1" t="n">
        <v>0.848285455486542</v>
      </c>
      <c r="J69" s="1" t="n">
        <v>0.0304552758088863</v>
      </c>
    </row>
    <row r="70" customFormat="false" ht="15" hidden="false" customHeight="false" outlineLevel="0" collapsed="false">
      <c r="A70" s="1" t="s">
        <v>17</v>
      </c>
      <c r="B70" s="1" t="s">
        <v>17</v>
      </c>
      <c r="C70" s="1" t="s">
        <v>18</v>
      </c>
      <c r="D70" s="1" t="s">
        <v>74</v>
      </c>
      <c r="E70" s="1" t="n">
        <v>0.862903225806452</v>
      </c>
      <c r="F70" s="1" t="n">
        <v>0.841334541062802</v>
      </c>
      <c r="G70" s="1" t="n">
        <v>0.843189301895729</v>
      </c>
      <c r="H70" s="1" t="n">
        <v>0.862040571849401</v>
      </c>
      <c r="I70" s="1" t="n">
        <v>0.841334541062802</v>
      </c>
      <c r="J70" s="1" t="n">
        <v>0.0348245015980752</v>
      </c>
    </row>
    <row r="71" customFormat="false" ht="15" hidden="false" customHeight="false" outlineLevel="0" collapsed="false">
      <c r="A71" s="1" t="s">
        <v>19</v>
      </c>
      <c r="B71" s="1" t="s">
        <v>17</v>
      </c>
      <c r="C71" s="1" t="s">
        <v>13</v>
      </c>
      <c r="D71" s="1" t="s">
        <v>74</v>
      </c>
      <c r="E71" s="1" t="n">
        <v>0.860215053763441</v>
      </c>
      <c r="F71" s="1" t="n">
        <v>0.845092880147228</v>
      </c>
      <c r="G71" s="1" t="n">
        <v>0.845148478090096</v>
      </c>
      <c r="H71" s="1" t="n">
        <v>0.84986482524383</v>
      </c>
      <c r="I71" s="1" t="n">
        <v>0.845092880147228</v>
      </c>
      <c r="J71" s="1" t="n">
        <v>0.0652768981509361</v>
      </c>
    </row>
    <row r="72" customFormat="false" ht="15" hidden="false" customHeight="false" outlineLevel="0" collapsed="false">
      <c r="A72" s="1" t="s">
        <v>68</v>
      </c>
      <c r="B72" s="1" t="s">
        <v>17</v>
      </c>
      <c r="C72" s="1" t="s">
        <v>13</v>
      </c>
      <c r="D72" s="1" t="s">
        <v>74</v>
      </c>
      <c r="E72" s="1" t="n">
        <v>0.85752688172043</v>
      </c>
      <c r="F72" s="1" t="n">
        <v>0.811617207269381</v>
      </c>
      <c r="G72" s="1" t="n">
        <v>0.827733284693729</v>
      </c>
      <c r="H72" s="1" t="n">
        <v>0.878691544335138</v>
      </c>
      <c r="I72" s="1" t="n">
        <v>0.811617207269381</v>
      </c>
      <c r="J72" s="1" t="n">
        <v>0.0478607967694177</v>
      </c>
    </row>
    <row r="73" customFormat="false" ht="15" hidden="false" customHeight="false" outlineLevel="0" collapsed="false">
      <c r="A73" s="1" t="s">
        <v>71</v>
      </c>
      <c r="B73" s="1" t="s">
        <v>1</v>
      </c>
      <c r="C73" s="1" t="s">
        <v>13</v>
      </c>
      <c r="D73" s="1" t="s">
        <v>74</v>
      </c>
      <c r="E73" s="1" t="n">
        <v>0.854838709677419</v>
      </c>
      <c r="F73" s="1" t="n">
        <v>0.849345094317921</v>
      </c>
      <c r="G73" s="1" t="n">
        <v>0.842758795720764</v>
      </c>
      <c r="H73" s="1" t="n">
        <v>0.852547720237727</v>
      </c>
      <c r="I73" s="1" t="n">
        <v>0.849345094317921</v>
      </c>
      <c r="J73" s="1" t="n">
        <v>0.0221805067897244</v>
      </c>
    </row>
    <row r="74" customFormat="false" ht="15" hidden="false" customHeight="false" outlineLevel="0" collapsed="false">
      <c r="A74" s="1" t="s">
        <v>31</v>
      </c>
      <c r="B74" s="1" t="s">
        <v>1</v>
      </c>
      <c r="C74" s="1" t="s">
        <v>13</v>
      </c>
      <c r="D74" s="1" t="s">
        <v>74</v>
      </c>
      <c r="E74" s="1" t="n">
        <v>0.849462365591398</v>
      </c>
      <c r="F74" s="1" t="n">
        <v>0.841987290085116</v>
      </c>
      <c r="G74" s="1" t="n">
        <v>0.840775616291721</v>
      </c>
      <c r="H74" s="1" t="n">
        <v>0.875437910096091</v>
      </c>
      <c r="I74" s="1" t="n">
        <v>0.841987290085116</v>
      </c>
      <c r="J74" s="1" t="n">
        <v>0.0455004904332481</v>
      </c>
    </row>
    <row r="75" customFormat="false" ht="15" hidden="false" customHeight="false" outlineLevel="0" collapsed="false">
      <c r="A75" s="1" t="s">
        <v>21</v>
      </c>
      <c r="B75" s="1" t="s">
        <v>17</v>
      </c>
      <c r="C75" s="1" t="s">
        <v>13</v>
      </c>
      <c r="D75" s="1" t="s">
        <v>74</v>
      </c>
      <c r="E75" s="1" t="n">
        <v>0.846774193548387</v>
      </c>
      <c r="F75" s="1" t="n">
        <v>0.807878278122843</v>
      </c>
      <c r="G75" s="1" t="n">
        <v>0.817241386593076</v>
      </c>
      <c r="H75" s="1" t="n">
        <v>0.84254829274507</v>
      </c>
      <c r="I75" s="1" t="n">
        <v>0.807878278122843</v>
      </c>
      <c r="J75" s="1" t="n">
        <v>0.0556386742574853</v>
      </c>
    </row>
    <row r="76" customFormat="false" ht="15" hidden="false" customHeight="false" outlineLevel="0" collapsed="false">
      <c r="A76" s="1" t="s">
        <v>72</v>
      </c>
      <c r="B76" s="1" t="s">
        <v>1</v>
      </c>
      <c r="C76" s="1" t="s">
        <v>13</v>
      </c>
      <c r="D76" s="1" t="s">
        <v>74</v>
      </c>
      <c r="E76" s="1" t="n">
        <v>0.844086021505376</v>
      </c>
      <c r="F76" s="1" t="n">
        <v>0.848078416149068</v>
      </c>
      <c r="G76" s="1" t="n">
        <v>0.830488368209561</v>
      </c>
      <c r="H76" s="1" t="n">
        <v>0.825315303710613</v>
      </c>
      <c r="I76" s="1" t="n">
        <v>0.848078416149068</v>
      </c>
      <c r="J76" s="1" t="n">
        <v>0.0444023425778441</v>
      </c>
    </row>
    <row r="77" customFormat="false" ht="15" hidden="false" customHeight="false" outlineLevel="0" collapsed="false">
      <c r="A77" s="1" t="s">
        <v>32</v>
      </c>
      <c r="B77" s="1" t="s">
        <v>1</v>
      </c>
      <c r="C77" s="1" t="s">
        <v>13</v>
      </c>
      <c r="D77" s="1" t="s">
        <v>74</v>
      </c>
      <c r="E77" s="1" t="n">
        <v>0.841397849462366</v>
      </c>
      <c r="F77" s="1" t="n">
        <v>0.847995744191396</v>
      </c>
      <c r="G77" s="1" t="n">
        <v>0.831946718257391</v>
      </c>
      <c r="H77" s="1" t="n">
        <v>0.843519932295087</v>
      </c>
      <c r="I77" s="1" t="n">
        <v>0.847995744191396</v>
      </c>
      <c r="J77" s="1" t="n">
        <v>0.017849647576877</v>
      </c>
    </row>
    <row r="78" customFormat="false" ht="15" hidden="false" customHeight="false" outlineLevel="0" collapsed="false">
      <c r="A78" s="1" t="s">
        <v>20</v>
      </c>
      <c r="B78" s="1" t="s">
        <v>17</v>
      </c>
      <c r="C78" s="1" t="s">
        <v>13</v>
      </c>
      <c r="D78" s="1" t="s">
        <v>74</v>
      </c>
      <c r="E78" s="1" t="n">
        <v>0.827956989247312</v>
      </c>
      <c r="F78" s="1" t="n">
        <v>0.791020387623649</v>
      </c>
      <c r="G78" s="1" t="n">
        <v>0.794056178434047</v>
      </c>
      <c r="H78" s="1" t="n">
        <v>0.811515059852922</v>
      </c>
      <c r="I78" s="1" t="n">
        <v>0.791020387623649</v>
      </c>
      <c r="J78" s="1" t="n">
        <v>0.0741218661585396</v>
      </c>
    </row>
    <row r="79" customFormat="false" ht="15" hidden="false" customHeight="false" outlineLevel="0" collapsed="false">
      <c r="A79" s="1" t="s">
        <v>33</v>
      </c>
      <c r="B79" s="1" t="s">
        <v>1</v>
      </c>
      <c r="C79" s="1" t="s">
        <v>13</v>
      </c>
      <c r="D79" s="1" t="s">
        <v>74</v>
      </c>
      <c r="E79" s="1" t="n">
        <v>0.827956989247312</v>
      </c>
      <c r="F79" s="1" t="n">
        <v>0.765681792040488</v>
      </c>
      <c r="G79" s="1" t="n">
        <v>0.768165674454474</v>
      </c>
      <c r="H79" s="1" t="n">
        <v>0.815641488141488</v>
      </c>
      <c r="I79" s="1" t="n">
        <v>0.765681792040488</v>
      </c>
      <c r="J79" s="1" t="n">
        <v>0.125599965432921</v>
      </c>
    </row>
    <row r="80" customFormat="false" ht="15" hidden="false" customHeight="false" outlineLevel="0" collapsed="false">
      <c r="A80" s="1" t="s">
        <v>69</v>
      </c>
      <c r="B80" s="1" t="s">
        <v>1</v>
      </c>
      <c r="C80" s="1" t="s">
        <v>13</v>
      </c>
      <c r="D80" s="1" t="s">
        <v>74</v>
      </c>
      <c r="E80" s="1" t="n">
        <v>0.811827956989247</v>
      </c>
      <c r="F80" s="1" t="n">
        <v>0.776070422130205</v>
      </c>
      <c r="G80" s="1" t="n">
        <v>0.752889917333599</v>
      </c>
      <c r="H80" s="1" t="n">
        <v>0.765430320238757</v>
      </c>
      <c r="I80" s="1" t="n">
        <v>0.776070422130205</v>
      </c>
      <c r="J80" s="1" t="n">
        <v>0.121963928421532</v>
      </c>
    </row>
    <row r="81" customFormat="false" ht="15" hidden="false" customHeight="false" outlineLevel="0" collapsed="false">
      <c r="A81" s="1" t="s">
        <v>42</v>
      </c>
      <c r="B81" s="1" t="s">
        <v>1</v>
      </c>
      <c r="C81" s="1" t="s">
        <v>13</v>
      </c>
      <c r="D81" s="1" t="s">
        <v>74</v>
      </c>
      <c r="E81" s="1" t="n">
        <v>0.811827956989247</v>
      </c>
      <c r="F81" s="1" t="n">
        <v>0.816752933057281</v>
      </c>
      <c r="G81" s="1" t="n">
        <v>0.799990088872645</v>
      </c>
      <c r="H81" s="1" t="n">
        <v>0.802966907657983</v>
      </c>
      <c r="I81" s="1" t="n">
        <v>0.816752933057281</v>
      </c>
      <c r="J81" s="1" t="n">
        <v>0.0528304100450458</v>
      </c>
    </row>
    <row r="82" customFormat="false" ht="15" hidden="false" customHeight="false" outlineLevel="0" collapsed="false">
      <c r="A82" s="1" t="s">
        <v>64</v>
      </c>
      <c r="B82" s="1" t="s">
        <v>23</v>
      </c>
      <c r="C82" s="1" t="s">
        <v>13</v>
      </c>
      <c r="D82" s="1" t="s">
        <v>74</v>
      </c>
      <c r="E82" s="1" t="n">
        <v>0.801075268817204</v>
      </c>
      <c r="F82" s="1" t="n">
        <v>0.785769639981597</v>
      </c>
      <c r="G82" s="1" t="n">
        <v>0.770782921137735</v>
      </c>
      <c r="H82" s="1" t="n">
        <v>0.774675501817235</v>
      </c>
      <c r="I82" s="1" t="n">
        <v>0.785769639981597</v>
      </c>
      <c r="J82" s="1" t="n">
        <v>0.0816637337988467</v>
      </c>
    </row>
    <row r="83" customFormat="false" ht="15" hidden="false" customHeight="false" outlineLevel="0" collapsed="false">
      <c r="A83" s="1" t="s">
        <v>40</v>
      </c>
      <c r="B83" s="1" t="s">
        <v>1</v>
      </c>
      <c r="C83" s="1" t="s">
        <v>13</v>
      </c>
      <c r="D83" s="1" t="s">
        <v>74</v>
      </c>
      <c r="E83" s="1" t="n">
        <v>0.801075268817204</v>
      </c>
      <c r="F83" s="1" t="n">
        <v>0.821477455716586</v>
      </c>
      <c r="G83" s="1" t="n">
        <v>0.793332828901049</v>
      </c>
      <c r="H83" s="1" t="n">
        <v>0.799076769132253</v>
      </c>
      <c r="I83" s="1" t="n">
        <v>0.821477455716586</v>
      </c>
      <c r="J83" s="1" t="n">
        <v>0.0637313814531184</v>
      </c>
    </row>
    <row r="84" customFormat="false" ht="15" hidden="false" customHeight="false" outlineLevel="0" collapsed="false">
      <c r="A84" s="1" t="s">
        <v>29</v>
      </c>
      <c r="B84" s="1" t="s">
        <v>17</v>
      </c>
      <c r="C84" s="1" t="s">
        <v>13</v>
      </c>
      <c r="D84" s="1" t="s">
        <v>74</v>
      </c>
      <c r="E84" s="1" t="n">
        <v>0.798387096774194</v>
      </c>
      <c r="F84" s="1" t="n">
        <v>0.754574275362319</v>
      </c>
      <c r="G84" s="1" t="n">
        <v>0.761156699113714</v>
      </c>
      <c r="H84" s="1" t="n">
        <v>0.799294995711461</v>
      </c>
      <c r="I84" s="1" t="n">
        <v>0.754574275362319</v>
      </c>
      <c r="J84" s="1" t="n">
        <v>0.0351627304931157</v>
      </c>
    </row>
    <row r="85" customFormat="false" ht="15" hidden="false" customHeight="false" outlineLevel="0" collapsed="false">
      <c r="A85" s="1" t="s">
        <v>34</v>
      </c>
      <c r="B85" s="1" t="s">
        <v>17</v>
      </c>
      <c r="C85" s="1" t="s">
        <v>13</v>
      </c>
      <c r="D85" s="1" t="s">
        <v>74</v>
      </c>
      <c r="E85" s="1" t="n">
        <v>0.787634408602151</v>
      </c>
      <c r="F85" s="1" t="n">
        <v>0.741828416149068</v>
      </c>
      <c r="G85" s="1" t="n">
        <v>0.727488977147866</v>
      </c>
      <c r="H85" s="1" t="n">
        <v>0.722942571041154</v>
      </c>
      <c r="I85" s="1" t="n">
        <v>0.741828416149068</v>
      </c>
      <c r="J85" s="1" t="n">
        <v>0.0988964998139864</v>
      </c>
    </row>
    <row r="86" customFormat="false" ht="15" hidden="false" customHeight="false" outlineLevel="0" collapsed="false">
      <c r="A86" s="1" t="s">
        <v>65</v>
      </c>
      <c r="B86" s="1" t="s">
        <v>17</v>
      </c>
      <c r="C86" s="1" t="s">
        <v>13</v>
      </c>
      <c r="D86" s="1" t="s">
        <v>74</v>
      </c>
      <c r="E86" s="1" t="n">
        <v>0.782258064516129</v>
      </c>
      <c r="F86" s="1" t="n">
        <v>0.742248964803313</v>
      </c>
      <c r="G86" s="1" t="n">
        <v>0.747931013681283</v>
      </c>
      <c r="H86" s="1" t="n">
        <v>0.768315080652037</v>
      </c>
      <c r="I86" s="1" t="n">
        <v>0.742248964803313</v>
      </c>
      <c r="J86" s="1" t="n">
        <v>0.0756791070782963</v>
      </c>
    </row>
    <row r="87" customFormat="false" ht="15" hidden="false" customHeight="false" outlineLevel="0" collapsed="false">
      <c r="A87" s="1" t="s">
        <v>24</v>
      </c>
      <c r="B87" s="1" t="s">
        <v>23</v>
      </c>
      <c r="C87" s="1" t="s">
        <v>13</v>
      </c>
      <c r="D87" s="1" t="s">
        <v>74</v>
      </c>
      <c r="E87" s="1" t="n">
        <v>0.755376344086022</v>
      </c>
      <c r="F87" s="1" t="n">
        <v>0.735283672647803</v>
      </c>
      <c r="G87" s="1" t="n">
        <v>0.729547649857283</v>
      </c>
      <c r="H87" s="1" t="n">
        <v>0.74099515092078</v>
      </c>
      <c r="I87" s="1" t="n">
        <v>0.735283672647803</v>
      </c>
      <c r="J87" s="1" t="n">
        <v>0.0782917386510397</v>
      </c>
    </row>
    <row r="88" customFormat="false" ht="15" hidden="false" customHeight="false" outlineLevel="0" collapsed="false">
      <c r="A88" s="1" t="s">
        <v>45</v>
      </c>
      <c r="B88" s="1" t="s">
        <v>1</v>
      </c>
      <c r="C88" s="1" t="s">
        <v>13</v>
      </c>
      <c r="D88" s="1" t="s">
        <v>74</v>
      </c>
      <c r="E88" s="1" t="n">
        <v>0.739247311827957</v>
      </c>
      <c r="F88" s="1" t="n">
        <v>0.783680555555556</v>
      </c>
      <c r="G88" s="1" t="n">
        <v>0.738887178198613</v>
      </c>
      <c r="H88" s="1" t="n">
        <v>0.763203296984902</v>
      </c>
      <c r="I88" s="1" t="n">
        <v>0.783680555555556</v>
      </c>
      <c r="J88" s="1" t="n">
        <v>0.0953554741854494</v>
      </c>
    </row>
    <row r="89" customFormat="false" ht="15" hidden="false" customHeight="false" outlineLevel="0" collapsed="false">
      <c r="A89" s="1" t="s">
        <v>61</v>
      </c>
      <c r="B89" s="1" t="s">
        <v>23</v>
      </c>
      <c r="C89" s="1" t="s">
        <v>13</v>
      </c>
      <c r="D89" s="1" t="s">
        <v>74</v>
      </c>
      <c r="E89" s="1" t="n">
        <v>0.731182795698925</v>
      </c>
      <c r="F89" s="1" t="n">
        <v>0.731625258799172</v>
      </c>
      <c r="G89" s="1" t="n">
        <v>0.714213636396282</v>
      </c>
      <c r="H89" s="1" t="n">
        <v>0.71706259156345</v>
      </c>
      <c r="I89" s="1" t="n">
        <v>0.731625258799172</v>
      </c>
      <c r="J89" s="1" t="n">
        <v>0.105264848816225</v>
      </c>
    </row>
    <row r="90" customFormat="false" ht="15" hidden="false" customHeight="false" outlineLevel="0" collapsed="false">
      <c r="A90" s="1" t="s">
        <v>23</v>
      </c>
      <c r="B90" s="1" t="s">
        <v>23</v>
      </c>
      <c r="C90" s="1" t="s">
        <v>18</v>
      </c>
      <c r="D90" s="1" t="s">
        <v>74</v>
      </c>
      <c r="E90" s="1" t="n">
        <v>0.71505376344086</v>
      </c>
      <c r="F90" s="1" t="n">
        <v>0.666023263170002</v>
      </c>
      <c r="G90" s="1" t="n">
        <v>0.669755473121785</v>
      </c>
      <c r="H90" s="1" t="n">
        <v>0.71406391314</v>
      </c>
      <c r="I90" s="1" t="n">
        <v>0.666023263170002</v>
      </c>
      <c r="J90" s="1" t="n">
        <v>0.0548414341120774</v>
      </c>
    </row>
    <row r="91" customFormat="false" ht="15" hidden="false" customHeight="false" outlineLevel="0" collapsed="false">
      <c r="A91" s="1" t="s">
        <v>22</v>
      </c>
      <c r="B91" s="1" t="s">
        <v>23</v>
      </c>
      <c r="C91" s="1" t="s">
        <v>13</v>
      </c>
      <c r="D91" s="1" t="s">
        <v>74</v>
      </c>
      <c r="E91" s="1" t="n">
        <v>0.71505376344086</v>
      </c>
      <c r="F91" s="1" t="n">
        <v>0.690064268461008</v>
      </c>
      <c r="G91" s="1" t="n">
        <v>0.690226036710619</v>
      </c>
      <c r="H91" s="1" t="n">
        <v>0.71177709066296</v>
      </c>
      <c r="I91" s="1" t="n">
        <v>0.690064268461008</v>
      </c>
      <c r="J91" s="1" t="n">
        <v>0.0570377099054496</v>
      </c>
    </row>
    <row r="92" customFormat="false" ht="15" hidden="false" customHeight="false" outlineLevel="0" collapsed="false">
      <c r="A92" s="1" t="s">
        <v>27</v>
      </c>
      <c r="B92" s="1" t="s">
        <v>23</v>
      </c>
      <c r="C92" s="1" t="s">
        <v>13</v>
      </c>
      <c r="D92" s="1" t="s">
        <v>74</v>
      </c>
      <c r="E92" s="1" t="n">
        <v>0.709677419354839</v>
      </c>
      <c r="F92" s="1" t="n">
        <v>0.690752242926156</v>
      </c>
      <c r="G92" s="1" t="n">
        <v>0.687904644544067</v>
      </c>
      <c r="H92" s="1" t="n">
        <v>0.706412130392936</v>
      </c>
      <c r="I92" s="1" t="n">
        <v>0.690752242926156</v>
      </c>
      <c r="J92" s="1" t="n">
        <v>0.0468124349580389</v>
      </c>
    </row>
    <row r="93" customFormat="false" ht="15" hidden="false" customHeight="false" outlineLevel="0" collapsed="false">
      <c r="A93" s="1" t="s">
        <v>37</v>
      </c>
      <c r="B93" s="1" t="s">
        <v>23</v>
      </c>
      <c r="C93" s="1" t="s">
        <v>13</v>
      </c>
      <c r="D93" s="1" t="s">
        <v>74</v>
      </c>
      <c r="E93" s="1" t="n">
        <v>0.693548387096774</v>
      </c>
      <c r="F93" s="1" t="n">
        <v>0.649720353117092</v>
      </c>
      <c r="G93" s="1" t="n">
        <v>0.648523518275329</v>
      </c>
      <c r="H93" s="1" t="n">
        <v>0.681643709081678</v>
      </c>
      <c r="I93" s="1" t="n">
        <v>0.649720353117092</v>
      </c>
      <c r="J93" s="1" t="n">
        <v>0.110643692012466</v>
      </c>
    </row>
    <row r="94" customFormat="false" ht="15" hidden="false" customHeight="false" outlineLevel="0" collapsed="false">
      <c r="A94" s="1" t="s">
        <v>49</v>
      </c>
      <c r="B94" s="1" t="s">
        <v>17</v>
      </c>
      <c r="C94" s="1" t="s">
        <v>13</v>
      </c>
      <c r="D94" s="1" t="s">
        <v>74</v>
      </c>
      <c r="E94" s="1" t="n">
        <v>0.680107526881721</v>
      </c>
      <c r="F94" s="1" t="n">
        <v>0.697099292615597</v>
      </c>
      <c r="G94" s="1" t="n">
        <v>0.659827608332401</v>
      </c>
      <c r="H94" s="1" t="n">
        <v>0.688636533494312</v>
      </c>
      <c r="I94" s="1" t="n">
        <v>0.697099292615597</v>
      </c>
      <c r="J94" s="1" t="n">
        <v>0.0926052926112095</v>
      </c>
    </row>
    <row r="95" customFormat="false" ht="15" hidden="false" customHeight="false" outlineLevel="0" collapsed="false">
      <c r="A95" s="1" t="s">
        <v>62</v>
      </c>
      <c r="B95" s="1" t="s">
        <v>23</v>
      </c>
      <c r="C95" s="1" t="s">
        <v>13</v>
      </c>
      <c r="D95" s="1" t="s">
        <v>74</v>
      </c>
      <c r="E95" s="1" t="n">
        <v>0.68010752688172</v>
      </c>
      <c r="F95" s="1" t="n">
        <v>0.701637623648493</v>
      </c>
      <c r="G95" s="1" t="n">
        <v>0.666271296049913</v>
      </c>
      <c r="H95" s="1" t="n">
        <v>0.678419797344998</v>
      </c>
      <c r="I95" s="1" t="n">
        <v>0.701637623648493</v>
      </c>
      <c r="J95" s="1" t="n">
        <v>0.0765249622407918</v>
      </c>
    </row>
    <row r="96" customFormat="false" ht="15" hidden="false" customHeight="false" outlineLevel="0" collapsed="false">
      <c r="A96" s="1" t="s">
        <v>26</v>
      </c>
      <c r="B96" s="1" t="s">
        <v>26</v>
      </c>
      <c r="C96" s="1" t="s">
        <v>18</v>
      </c>
      <c r="D96" s="1" t="s">
        <v>74</v>
      </c>
      <c r="E96" s="1" t="n">
        <v>0.669354838709678</v>
      </c>
      <c r="F96" s="1" t="n">
        <v>0.663180066712675</v>
      </c>
      <c r="G96" s="1" t="n">
        <v>0.651520156966443</v>
      </c>
      <c r="H96" s="1" t="n">
        <v>0.749765552049226</v>
      </c>
      <c r="I96" s="1" t="n">
        <v>0.663180066712675</v>
      </c>
      <c r="J96" s="1" t="n">
        <v>0.0652398979999606</v>
      </c>
    </row>
    <row r="97" customFormat="false" ht="15" hidden="false" customHeight="false" outlineLevel="0" collapsed="false">
      <c r="A97" s="1" t="s">
        <v>46</v>
      </c>
      <c r="B97" s="1" t="s">
        <v>23</v>
      </c>
      <c r="C97" s="1" t="s">
        <v>13</v>
      </c>
      <c r="D97" s="1" t="s">
        <v>74</v>
      </c>
      <c r="E97" s="1" t="n">
        <v>0.669354838709677</v>
      </c>
      <c r="F97" s="1" t="n">
        <v>0.666257620197838</v>
      </c>
      <c r="G97" s="1" t="n">
        <v>0.646569549444937</v>
      </c>
      <c r="H97" s="1" t="n">
        <v>0.656328472045384</v>
      </c>
      <c r="I97" s="1" t="n">
        <v>0.666257620197838</v>
      </c>
      <c r="J97" s="1" t="n">
        <v>0.061663738893825</v>
      </c>
    </row>
    <row r="98" customFormat="false" ht="15" hidden="false" customHeight="false" outlineLevel="0" collapsed="false">
      <c r="A98" s="1" t="s">
        <v>44</v>
      </c>
      <c r="B98" s="1" t="s">
        <v>23</v>
      </c>
      <c r="C98" s="1" t="s">
        <v>13</v>
      </c>
      <c r="D98" s="1" t="s">
        <v>74</v>
      </c>
      <c r="E98" s="1" t="n">
        <v>0.653225806451613</v>
      </c>
      <c r="F98" s="1" t="n">
        <v>0.671537123303428</v>
      </c>
      <c r="G98" s="1" t="n">
        <v>0.644533279878298</v>
      </c>
      <c r="H98" s="1" t="n">
        <v>0.639542246968718</v>
      </c>
      <c r="I98" s="1" t="n">
        <v>0.671537123303428</v>
      </c>
      <c r="J98" s="1" t="n">
        <v>0.0615862581740506</v>
      </c>
    </row>
    <row r="99" customFormat="false" ht="15" hidden="false" customHeight="false" outlineLevel="0" collapsed="false">
      <c r="A99" s="1" t="s">
        <v>41</v>
      </c>
      <c r="B99" s="1" t="s">
        <v>23</v>
      </c>
      <c r="C99" s="1" t="s">
        <v>13</v>
      </c>
      <c r="D99" s="1" t="s">
        <v>74</v>
      </c>
      <c r="E99" s="1" t="n">
        <v>0.647849462365591</v>
      </c>
      <c r="F99" s="1" t="n">
        <v>0.609572693811824</v>
      </c>
      <c r="G99" s="1" t="n">
        <v>0.604874604397506</v>
      </c>
      <c r="H99" s="1" t="n">
        <v>0.646997378982673</v>
      </c>
      <c r="I99" s="1" t="n">
        <v>0.609572693811824</v>
      </c>
      <c r="J99" s="1" t="n">
        <v>0.150808308977621</v>
      </c>
    </row>
    <row r="100" customFormat="false" ht="15" hidden="false" customHeight="false" outlineLevel="0" collapsed="false">
      <c r="A100" s="1" t="s">
        <v>52</v>
      </c>
      <c r="B100" s="1" t="s">
        <v>23</v>
      </c>
      <c r="C100" s="1" t="s">
        <v>13</v>
      </c>
      <c r="D100" s="1" t="s">
        <v>74</v>
      </c>
      <c r="E100" s="1" t="n">
        <v>0.647849462365591</v>
      </c>
      <c r="F100" s="1" t="n">
        <v>0.660745197837589</v>
      </c>
      <c r="G100" s="1" t="n">
        <v>0.634974527566277</v>
      </c>
      <c r="H100" s="1" t="n">
        <v>0.668094468572966</v>
      </c>
      <c r="I100" s="1" t="n">
        <v>0.660745197837589</v>
      </c>
      <c r="J100" s="1" t="n">
        <v>0.0784632258177404</v>
      </c>
    </row>
    <row r="101" customFormat="false" ht="15" hidden="false" customHeight="false" outlineLevel="0" collapsed="false">
      <c r="A101" s="1" t="s">
        <v>50</v>
      </c>
      <c r="B101" s="1" t="s">
        <v>23</v>
      </c>
      <c r="C101" s="1" t="s">
        <v>13</v>
      </c>
      <c r="D101" s="1" t="s">
        <v>74</v>
      </c>
      <c r="E101" s="1" t="n">
        <v>0.645161290322581</v>
      </c>
      <c r="F101" s="1" t="n">
        <v>0.678548424200598</v>
      </c>
      <c r="G101" s="1" t="n">
        <v>0.657833316069449</v>
      </c>
      <c r="H101" s="1" t="n">
        <v>0.687952857983103</v>
      </c>
      <c r="I101" s="1" t="n">
        <v>0.678548424200598</v>
      </c>
      <c r="J101" s="1" t="n">
        <v>0.0632940211234858</v>
      </c>
    </row>
    <row r="102" customFormat="false" ht="15" hidden="false" customHeight="false" outlineLevel="0" collapsed="false">
      <c r="A102" s="1" t="s">
        <v>63</v>
      </c>
      <c r="B102" s="1" t="s">
        <v>23</v>
      </c>
      <c r="C102" s="1" t="s">
        <v>13</v>
      </c>
      <c r="D102" s="1" t="s">
        <v>74</v>
      </c>
      <c r="E102" s="1" t="n">
        <v>0.618279569892473</v>
      </c>
      <c r="F102" s="1" t="n">
        <v>0.646990740740741</v>
      </c>
      <c r="G102" s="1" t="n">
        <v>0.613528899623533</v>
      </c>
      <c r="H102" s="1" t="n">
        <v>0.634315887166765</v>
      </c>
      <c r="I102" s="1" t="n">
        <v>0.646990740740741</v>
      </c>
      <c r="J102" s="1" t="n">
        <v>0.0480985022383829</v>
      </c>
    </row>
    <row r="103" customFormat="false" ht="15" hidden="false" customHeight="false" outlineLevel="0" collapsed="false">
      <c r="A103" s="1" t="s">
        <v>60</v>
      </c>
      <c r="B103" s="1" t="s">
        <v>26</v>
      </c>
      <c r="C103" s="1" t="s">
        <v>13</v>
      </c>
      <c r="D103" s="1" t="s">
        <v>74</v>
      </c>
      <c r="E103" s="1" t="n">
        <v>0.561827956989247</v>
      </c>
      <c r="F103" s="1" t="n">
        <v>0.508423913043478</v>
      </c>
      <c r="G103" s="1" t="n">
        <v>0.45273088696897</v>
      </c>
      <c r="H103" s="1" t="n">
        <v>0.496814759314759</v>
      </c>
      <c r="I103" s="1" t="n">
        <v>0.508423913043478</v>
      </c>
      <c r="J103" s="1" t="n">
        <v>0.18021437550932</v>
      </c>
    </row>
    <row r="104" customFormat="false" ht="15" hidden="false" customHeight="false" outlineLevel="0" collapsed="false">
      <c r="A104" s="1" t="s">
        <v>47</v>
      </c>
      <c r="B104" s="1" t="s">
        <v>23</v>
      </c>
      <c r="C104" s="1" t="s">
        <v>13</v>
      </c>
      <c r="D104" s="1" t="s">
        <v>74</v>
      </c>
      <c r="E104" s="1" t="n">
        <v>0.561827956989247</v>
      </c>
      <c r="F104" s="1" t="n">
        <v>0.624705256498735</v>
      </c>
      <c r="G104" s="1" t="n">
        <v>0.556654924312329</v>
      </c>
      <c r="H104" s="1" t="n">
        <v>0.577371710087969</v>
      </c>
      <c r="I104" s="1" t="n">
        <v>0.624705256498735</v>
      </c>
      <c r="J104" s="1" t="n">
        <v>0.124507336665216</v>
      </c>
    </row>
    <row r="105" customFormat="false" ht="15" hidden="false" customHeight="false" outlineLevel="0" collapsed="false">
      <c r="A105" s="1" t="s">
        <v>28</v>
      </c>
      <c r="B105" s="1" t="s">
        <v>26</v>
      </c>
      <c r="C105" s="1" t="s">
        <v>13</v>
      </c>
      <c r="D105" s="1" t="s">
        <v>74</v>
      </c>
      <c r="E105" s="1" t="n">
        <v>0.553763440860215</v>
      </c>
      <c r="F105" s="1" t="n">
        <v>0.512239044168392</v>
      </c>
      <c r="G105" s="1" t="n">
        <v>0.478136089298409</v>
      </c>
      <c r="H105" s="1" t="n">
        <v>0.626161407747613</v>
      </c>
      <c r="I105" s="1" t="n">
        <v>0.512239044168392</v>
      </c>
      <c r="J105" s="1" t="n">
        <v>0.106005584179308</v>
      </c>
    </row>
    <row r="106" customFormat="false" ht="15" hidden="false" customHeight="false" outlineLevel="0" collapsed="false">
      <c r="A106" s="1" t="s">
        <v>57</v>
      </c>
      <c r="B106" s="1" t="s">
        <v>26</v>
      </c>
      <c r="C106" s="1" t="s">
        <v>13</v>
      </c>
      <c r="D106" s="1" t="s">
        <v>74</v>
      </c>
      <c r="E106" s="1" t="n">
        <v>0.532258064516129</v>
      </c>
      <c r="F106" s="1" t="n">
        <v>0.480163043478261</v>
      </c>
      <c r="G106" s="1" t="n">
        <v>0.482219031101833</v>
      </c>
      <c r="H106" s="1" t="n">
        <v>0.62499075494409</v>
      </c>
      <c r="I106" s="1" t="n">
        <v>0.480163043478261</v>
      </c>
      <c r="J106" s="1" t="n">
        <v>0.107205100811909</v>
      </c>
    </row>
    <row r="107" customFormat="false" ht="15" hidden="false" customHeight="false" outlineLevel="0" collapsed="false">
      <c r="A107" s="1" t="s">
        <v>30</v>
      </c>
      <c r="B107" s="1" t="s">
        <v>26</v>
      </c>
      <c r="C107" s="1" t="s">
        <v>13</v>
      </c>
      <c r="D107" s="1" t="s">
        <v>74</v>
      </c>
      <c r="E107" s="1" t="n">
        <v>0.497311827956989</v>
      </c>
      <c r="F107" s="1" t="n">
        <v>0.472120140326662</v>
      </c>
      <c r="G107" s="1" t="n">
        <v>0.442969638784415</v>
      </c>
      <c r="H107" s="1" t="n">
        <v>0.529188899999517</v>
      </c>
      <c r="I107" s="1" t="n">
        <v>0.472120140326662</v>
      </c>
      <c r="J107" s="1" t="n">
        <v>0.104687244679498</v>
      </c>
    </row>
    <row r="108" customFormat="false" ht="15" hidden="false" customHeight="false" outlineLevel="0" collapsed="false">
      <c r="A108" s="1" t="s">
        <v>25</v>
      </c>
      <c r="B108" s="1" t="s">
        <v>26</v>
      </c>
      <c r="C108" s="1" t="s">
        <v>13</v>
      </c>
      <c r="D108" s="1" t="s">
        <v>74</v>
      </c>
      <c r="E108" s="1" t="n">
        <v>0.489247311827957</v>
      </c>
      <c r="F108" s="1" t="n">
        <v>0.468531458477111</v>
      </c>
      <c r="G108" s="1" t="n">
        <v>0.449392333000548</v>
      </c>
      <c r="H108" s="1" t="n">
        <v>0.555299113885408</v>
      </c>
      <c r="I108" s="1" t="n">
        <v>0.468531458477111</v>
      </c>
      <c r="J108" s="1" t="n">
        <v>0.129855667511581</v>
      </c>
    </row>
    <row r="109" customFormat="false" ht="15" hidden="false" customHeight="false" outlineLevel="0" collapsed="false">
      <c r="A109" s="1" t="s">
        <v>36</v>
      </c>
      <c r="B109" s="1" t="s">
        <v>26</v>
      </c>
      <c r="C109" s="1" t="s">
        <v>13</v>
      </c>
      <c r="D109" s="1" t="s">
        <v>74</v>
      </c>
      <c r="E109" s="1" t="n">
        <v>0.481182795698925</v>
      </c>
      <c r="F109" s="1" t="n">
        <v>0.388922676558546</v>
      </c>
      <c r="G109" s="1" t="n">
        <v>0.328618375569015</v>
      </c>
      <c r="H109" s="1" t="n">
        <v>0.374756292182763</v>
      </c>
      <c r="I109" s="1" t="n">
        <v>0.388922676558546</v>
      </c>
      <c r="J109" s="1" t="n">
        <v>0.159143859327892</v>
      </c>
    </row>
    <row r="110" customFormat="false" ht="15" hidden="false" customHeight="false" outlineLevel="0" collapsed="false">
      <c r="A110" s="1" t="s">
        <v>58</v>
      </c>
      <c r="B110" s="1" t="s">
        <v>26</v>
      </c>
      <c r="C110" s="1" t="s">
        <v>13</v>
      </c>
      <c r="D110" s="1" t="s">
        <v>74</v>
      </c>
      <c r="E110" s="1" t="n">
        <v>0.459677419354839</v>
      </c>
      <c r="F110" s="1" t="n">
        <v>0.427331349206349</v>
      </c>
      <c r="G110" s="1" t="n">
        <v>0.406632996407178</v>
      </c>
      <c r="H110" s="1" t="n">
        <v>0.520064356701289</v>
      </c>
      <c r="I110" s="1" t="n">
        <v>0.427331349206349</v>
      </c>
      <c r="J110" s="1" t="n">
        <v>0.063788634748583</v>
      </c>
    </row>
    <row r="111" customFormat="false" ht="15" hidden="false" customHeight="false" outlineLevel="0" collapsed="false">
      <c r="A111" s="1" t="s">
        <v>43</v>
      </c>
      <c r="B111" s="1" t="s">
        <v>26</v>
      </c>
      <c r="C111" s="1" t="s">
        <v>13</v>
      </c>
      <c r="D111" s="1" t="s">
        <v>74</v>
      </c>
      <c r="E111" s="1" t="n">
        <v>0.451612903225806</v>
      </c>
      <c r="F111" s="1" t="n">
        <v>0.449449332873246</v>
      </c>
      <c r="G111" s="1" t="n">
        <v>0.434752301042859</v>
      </c>
      <c r="H111" s="1" t="n">
        <v>0.584990256104096</v>
      </c>
      <c r="I111" s="1" t="n">
        <v>0.449449332873246</v>
      </c>
      <c r="J111" s="1" t="n">
        <v>0.157494984337777</v>
      </c>
    </row>
    <row r="112" customFormat="false" ht="15" hidden="false" customHeight="false" outlineLevel="0" collapsed="false">
      <c r="A112" s="1" t="s">
        <v>39</v>
      </c>
      <c r="B112" s="1" t="s">
        <v>26</v>
      </c>
      <c r="C112" s="1" t="s">
        <v>13</v>
      </c>
      <c r="D112" s="1" t="s">
        <v>74</v>
      </c>
      <c r="E112" s="1" t="n">
        <v>0.438172043010753</v>
      </c>
      <c r="F112" s="1" t="n">
        <v>0.39483192431562</v>
      </c>
      <c r="G112" s="1" t="n">
        <v>0.363289042151428</v>
      </c>
      <c r="H112" s="1" t="n">
        <v>0.483504126223747</v>
      </c>
      <c r="I112" s="1" t="n">
        <v>0.39483192431562</v>
      </c>
      <c r="J112" s="1" t="n">
        <v>0.18693505129469</v>
      </c>
    </row>
    <row r="113" customFormat="false" ht="15" hidden="false" customHeight="false" outlineLevel="0" collapsed="false">
      <c r="A113" s="1" t="s">
        <v>48</v>
      </c>
      <c r="B113" s="1" t="s">
        <v>26</v>
      </c>
      <c r="C113" s="1" t="s">
        <v>13</v>
      </c>
      <c r="D113" s="1" t="s">
        <v>74</v>
      </c>
      <c r="E113" s="1" t="n">
        <v>0.435483870967742</v>
      </c>
      <c r="F113" s="1" t="n">
        <v>0.384313894639982</v>
      </c>
      <c r="G113" s="1" t="n">
        <v>0.383169828760805</v>
      </c>
      <c r="H113" s="1" t="n">
        <v>0.507121861071343</v>
      </c>
      <c r="I113" s="1" t="n">
        <v>0.384313894639982</v>
      </c>
      <c r="J113" s="1" t="n">
        <v>0.0968632488577033</v>
      </c>
    </row>
    <row r="114" customFormat="false" ht="15" hidden="false" customHeight="false" outlineLevel="0" collapsed="false">
      <c r="A114" s="1" t="s">
        <v>38</v>
      </c>
      <c r="B114" s="1" t="s">
        <v>26</v>
      </c>
      <c r="C114" s="1" t="s">
        <v>13</v>
      </c>
      <c r="D114" s="1" t="s">
        <v>74</v>
      </c>
      <c r="E114" s="1" t="n">
        <v>0.419354838709677</v>
      </c>
      <c r="F114" s="1" t="n">
        <v>0.417846359558316</v>
      </c>
      <c r="G114" s="1" t="n">
        <v>0.413267381580767</v>
      </c>
      <c r="H114" s="1" t="n">
        <v>0.573328217262041</v>
      </c>
      <c r="I114" s="1" t="n">
        <v>0.417846359558316</v>
      </c>
      <c r="J114" s="1" t="n">
        <v>0.136005703751732</v>
      </c>
    </row>
    <row r="115" customFormat="false" ht="15" hidden="false" customHeight="false" outlineLevel="0" collapsed="false">
      <c r="A115" s="1" t="s">
        <v>59</v>
      </c>
      <c r="B115" s="1" t="s">
        <v>26</v>
      </c>
      <c r="C115" s="1" t="s">
        <v>13</v>
      </c>
      <c r="D115" s="1" t="s">
        <v>74</v>
      </c>
      <c r="E115" s="1" t="n">
        <v>0.411290322580645</v>
      </c>
      <c r="F115" s="1" t="n">
        <v>0.38160297331493</v>
      </c>
      <c r="G115" s="1" t="n">
        <v>0.365683183556538</v>
      </c>
      <c r="H115" s="1" t="n">
        <v>0.448111319554204</v>
      </c>
      <c r="I115" s="1" t="n">
        <v>0.38160297331493</v>
      </c>
      <c r="J115" s="1" t="n">
        <v>0.0888125982422798</v>
      </c>
    </row>
    <row r="116" customFormat="false" ht="15" hidden="false" customHeight="false" outlineLevel="0" collapsed="false">
      <c r="A116" s="1" t="s">
        <v>53</v>
      </c>
      <c r="B116" s="1" t="s">
        <v>17</v>
      </c>
      <c r="C116" s="1" t="s">
        <v>13</v>
      </c>
      <c r="D116" s="1" t="s">
        <v>74</v>
      </c>
      <c r="E116" s="1" t="n">
        <v>0.379032258064516</v>
      </c>
      <c r="F116" s="1" t="n">
        <v>0.25</v>
      </c>
      <c r="G116" s="1" t="n">
        <v>0.137414500683995</v>
      </c>
      <c r="H116" s="1" t="n">
        <v>0.094758064516129</v>
      </c>
      <c r="I116" s="1" t="n">
        <v>0.25</v>
      </c>
      <c r="J116" s="1" t="n">
        <v>0.0021203830369357</v>
      </c>
    </row>
    <row r="117" customFormat="false" ht="15" hidden="false" customHeight="false" outlineLevel="0" collapsed="false">
      <c r="A117" s="1" t="s">
        <v>54</v>
      </c>
      <c r="B117" s="1" t="s">
        <v>17</v>
      </c>
      <c r="C117" s="1" t="s">
        <v>13</v>
      </c>
      <c r="D117" s="1" t="s">
        <v>74</v>
      </c>
      <c r="E117" s="1" t="n">
        <v>0.379032258064516</v>
      </c>
      <c r="F117" s="1" t="n">
        <v>0.25</v>
      </c>
      <c r="G117" s="1" t="n">
        <v>0.137414500683995</v>
      </c>
      <c r="H117" s="1" t="n">
        <v>0.094758064516129</v>
      </c>
      <c r="I117" s="1" t="n">
        <v>0.25</v>
      </c>
      <c r="J117" s="1" t="n">
        <v>0.0021203830369357</v>
      </c>
    </row>
    <row r="118" customFormat="false" ht="15" hidden="false" customHeight="false" outlineLevel="0" collapsed="false">
      <c r="A118" s="1" t="s">
        <v>55</v>
      </c>
      <c r="B118" s="1" t="s">
        <v>17</v>
      </c>
      <c r="C118" s="1" t="s">
        <v>13</v>
      </c>
      <c r="D118" s="1" t="s">
        <v>74</v>
      </c>
      <c r="E118" s="1" t="n">
        <v>0.379032258064516</v>
      </c>
      <c r="F118" s="1" t="n">
        <v>0.25</v>
      </c>
      <c r="G118" s="1" t="n">
        <v>0.137414500683995</v>
      </c>
      <c r="H118" s="1" t="n">
        <v>0.094758064516129</v>
      </c>
      <c r="I118" s="1" t="n">
        <v>0.25</v>
      </c>
      <c r="J118" s="1" t="n">
        <v>0.0021203830369357</v>
      </c>
    </row>
    <row r="119" customFormat="false" ht="15" hidden="false" customHeight="false" outlineLevel="0" collapsed="false">
      <c r="A119" s="1" t="s">
        <v>56</v>
      </c>
      <c r="B119" s="1" t="s">
        <v>17</v>
      </c>
      <c r="C119" s="1" t="s">
        <v>13</v>
      </c>
      <c r="D119" s="1" t="s">
        <v>74</v>
      </c>
      <c r="E119" s="1" t="n">
        <v>0.379032258064516</v>
      </c>
      <c r="F119" s="1" t="n">
        <v>0.25</v>
      </c>
      <c r="G119" s="1" t="n">
        <v>0.137414500683995</v>
      </c>
      <c r="H119" s="1" t="n">
        <v>0.094758064516129</v>
      </c>
      <c r="I119" s="1" t="n">
        <v>0.25</v>
      </c>
      <c r="J119" s="1" t="n">
        <v>0.0021203830369357</v>
      </c>
    </row>
    <row r="120" customFormat="false" ht="15" hidden="false" customHeight="false" outlineLevel="0" collapsed="false">
      <c r="A120" s="1" t="s">
        <v>66</v>
      </c>
      <c r="B120" s="1" t="s">
        <v>17</v>
      </c>
      <c r="C120" s="1" t="s">
        <v>13</v>
      </c>
      <c r="D120" s="1" t="s">
        <v>74</v>
      </c>
      <c r="E120" s="1" t="n">
        <v>0.379032258064516</v>
      </c>
      <c r="F120" s="1" t="n">
        <v>0.25</v>
      </c>
      <c r="G120" s="1" t="n">
        <v>0.137414500683995</v>
      </c>
      <c r="H120" s="1" t="n">
        <v>0.094758064516129</v>
      </c>
      <c r="I120" s="1" t="n">
        <v>0.25</v>
      </c>
      <c r="J120" s="1" t="n">
        <v>0.0021203830369357</v>
      </c>
    </row>
    <row r="121" customFormat="false" ht="15" hidden="false" customHeight="false" outlineLevel="0" collapsed="false">
      <c r="A121" s="1" t="s">
        <v>67</v>
      </c>
      <c r="B121" s="1" t="s">
        <v>17</v>
      </c>
      <c r="C121" s="1" t="s">
        <v>13</v>
      </c>
      <c r="D121" s="1" t="s">
        <v>74</v>
      </c>
      <c r="E121" s="1" t="n">
        <v>0.379032258064516</v>
      </c>
      <c r="F121" s="1" t="n">
        <v>0.25</v>
      </c>
      <c r="G121" s="1" t="n">
        <v>0.137414500683995</v>
      </c>
      <c r="H121" s="1" t="n">
        <v>0.094758064516129</v>
      </c>
      <c r="I121" s="1" t="n">
        <v>0.25</v>
      </c>
      <c r="J121" s="1" t="n">
        <v>0.0021203830369357</v>
      </c>
    </row>
    <row r="122" customFormat="false" ht="15" hidden="false" customHeight="false" outlineLevel="0" collapsed="false">
      <c r="A122" s="1" t="s">
        <v>35</v>
      </c>
      <c r="B122" s="1" t="s">
        <v>26</v>
      </c>
      <c r="C122" s="1" t="s">
        <v>13</v>
      </c>
      <c r="D122" s="1" t="s">
        <v>74</v>
      </c>
      <c r="E122" s="1" t="n">
        <v>0.373655913978495</v>
      </c>
      <c r="F122" s="1" t="n">
        <v>0.301430584311019</v>
      </c>
      <c r="G122" s="1" t="n">
        <v>0.261323178255366</v>
      </c>
      <c r="H122" s="1" t="n">
        <v>0.409953305373702</v>
      </c>
      <c r="I122" s="1" t="n">
        <v>0.301430584311019</v>
      </c>
      <c r="J122" s="1" t="n">
        <v>0.0996631252866943</v>
      </c>
    </row>
    <row r="123" customFormat="false" ht="15" hidden="false" customHeight="false" outlineLevel="0" collapsed="false">
      <c r="A123" s="1" t="s">
        <v>51</v>
      </c>
      <c r="B123" s="1" t="s">
        <v>26</v>
      </c>
      <c r="C123" s="1" t="s">
        <v>13</v>
      </c>
      <c r="D123" s="1" t="s">
        <v>74</v>
      </c>
      <c r="E123" s="1" t="n">
        <v>0.303763440860215</v>
      </c>
      <c r="F123" s="1" t="n">
        <v>0.422894381182425</v>
      </c>
      <c r="G123" s="1" t="n">
        <v>0.321328394959915</v>
      </c>
      <c r="H123" s="1" t="n">
        <v>0.493267535868468</v>
      </c>
      <c r="I123" s="1" t="n">
        <v>0.422894381182425</v>
      </c>
      <c r="J123" s="1" t="n">
        <v>0.0914636905351527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K18" activeCellId="0" sqref="K18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49.05"/>
    <col collapsed="false" customWidth="true" hidden="false" outlineLevel="0" max="2" min="2" style="1" width="17.71"/>
    <col collapsed="false" customWidth="true" hidden="false" outlineLevel="0" max="11" min="11" style="0" width="15.77"/>
    <col collapsed="false" customWidth="true" hidden="false" outlineLevel="0" max="16384" min="16382" style="1" width="11.53"/>
  </cols>
  <sheetData>
    <row r="1" customFormat="false" ht="13.8" hidden="false" customHeight="false" outlineLevel="0" collapsed="false">
      <c r="A1" s="2" t="s">
        <v>1</v>
      </c>
      <c r="B1" s="2"/>
      <c r="C1" s="2"/>
      <c r="D1" s="2"/>
      <c r="E1" s="2"/>
      <c r="F1" s="2"/>
      <c r="G1" s="2"/>
    </row>
    <row r="2" customFormat="false" ht="13.8" hidden="false" customHeight="false" outlineLevel="0" collapsed="false">
      <c r="A2" s="4" t="s">
        <v>2</v>
      </c>
      <c r="B2" s="4" t="s">
        <v>4</v>
      </c>
      <c r="C2" s="4" t="s">
        <v>5</v>
      </c>
      <c r="D2" s="4" t="s">
        <v>6</v>
      </c>
      <c r="E2" s="4" t="s">
        <v>127</v>
      </c>
      <c r="F2" s="4" t="s">
        <v>9</v>
      </c>
      <c r="G2" s="4" t="s">
        <v>10</v>
      </c>
    </row>
    <row r="3" customFormat="false" ht="13.8" hidden="false" customHeight="false" outlineLevel="0" collapsed="false">
      <c r="A3" s="1" t="s">
        <v>81</v>
      </c>
      <c r="B3" s="1" t="str">
        <f aca="false">IF(  OR(ISNUMBER(SEARCH("SMOTEENN",A3)),ISNUMBER(SEARCH("SMOTETomek",A3))),  "Hybrid",  IF(   AND(    OR(ISNUMBER(SEARCH("SMOTE",A3)),ISNUMBER(SEARCH("SVMSMOTE",A3)),ISNUMBER(SEARCH("RandomOverSampler",A3)),ISNUMBER(SEARCH("BorderlineSmote",A3))),    OR(ISNUMBER(SEARCH("RandomUnderSampler",A3)),ISNUMBER(SEARCH("ClusterCentroids",A3)),ISNUMBER(SEARCH("OneSidedSelection",A3)))   ),   "Over+Under",   IF(    OR(ISNUMBER(SEARCH("SMOTE",A3)),ISNUMBER(SEARCH("SVMSMOTE",A3)),ISNUMBER(SEARCH("RandomOverSampler",A3)),ISNUMBER(SEARCH("BorderlineSmote",A3))),    "Oversampling",    IF(     OR(ISNUMBER(SEARCH("RandomUnderSampler",A3)),ISNUMBER(SEARCH("ClusterCentroids",A3)),ISNUMBER(SEARCH("OneSidedSelection",A3))),     "Undersampler",     "Czysty"    )   )  ) )</f>
        <v>Oversampling</v>
      </c>
      <c r="C3" s="1" t="s">
        <v>14</v>
      </c>
      <c r="D3" s="1" t="n">
        <v>0.8952</v>
      </c>
      <c r="E3" s="1" t="n">
        <v>0.8861</v>
      </c>
      <c r="F3" s="1" t="n">
        <v>0.9176</v>
      </c>
      <c r="G3" s="1" t="n">
        <v>0.8697</v>
      </c>
      <c r="I3" s="0" t="s">
        <v>94</v>
      </c>
      <c r="L3" s="1"/>
      <c r="M3" s="1"/>
      <c r="N3" s="1"/>
    </row>
    <row r="4" customFormat="false" ht="13.8" hidden="false" customHeight="false" outlineLevel="0" collapsed="false">
      <c r="A4" s="1" t="s">
        <v>79</v>
      </c>
      <c r="B4" s="1" t="str">
        <f aca="false">IF(  OR(ISNUMBER(SEARCH("SMOTEENN",A4)),ISNUMBER(SEARCH("SMOTETomek",A4))),  "Hybrid",  IF(   AND(    OR(ISNUMBER(SEARCH("SMOTE",A4)),ISNUMBER(SEARCH("SVMSMOTE",A4)),ISNUMBER(SEARCH("RandomOverSampler",A4)),ISNUMBER(SEARCH("BorderlineSmote",A4))),    OR(ISNUMBER(SEARCH("RandomUnderSampler",A4)),ISNUMBER(SEARCH("ClusterCentroids",A4)),ISNUMBER(SEARCH("OneSidedSelection",A4)))   ),   "Over+Under",   IF(    OR(ISNUMBER(SEARCH("SMOTE",A4)),ISNUMBER(SEARCH("SVMSMOTE",A4)),ISNUMBER(SEARCH("RandomOverSampler",A4)),ISNUMBER(SEARCH("BorderlineSmote",A4))),    "Oversampling",    IF(     OR(ISNUMBER(SEARCH("RandomUnderSampler",A4)),ISNUMBER(SEARCH("ClusterCentroids",A4)),ISNUMBER(SEARCH("OneSidedSelection",A4))),     "Undersampler",     "Czysty"    )   )  ) )</f>
        <v>Oversampling</v>
      </c>
      <c r="C4" s="1" t="s">
        <v>14</v>
      </c>
      <c r="D4" s="1" t="n">
        <v>0.9005</v>
      </c>
      <c r="E4" s="1" t="n">
        <v>0.8849</v>
      </c>
      <c r="F4" s="1" t="n">
        <v>0.9217</v>
      </c>
      <c r="G4" s="1" t="n">
        <v>0.8715</v>
      </c>
      <c r="I4" s="0" t="s">
        <v>1</v>
      </c>
      <c r="L4" s="1"/>
      <c r="M4" s="1"/>
      <c r="N4" s="1"/>
    </row>
    <row r="5" customFormat="false" ht="13.8" hidden="false" customHeight="false" outlineLevel="0" collapsed="false">
      <c r="A5" s="1" t="s">
        <v>80</v>
      </c>
      <c r="B5" s="1" t="str">
        <f aca="false">IF(  OR(ISNUMBER(SEARCH("SMOTEENN",A5)),ISNUMBER(SEARCH("SMOTETomek",A5))),  "Hybrid",  IF(   AND(    OR(ISNUMBER(SEARCH("SMOTE",A5)),ISNUMBER(SEARCH("SVMSMOTE",A5)),ISNUMBER(SEARCH("RandomOverSampler",A5)),ISNUMBER(SEARCH("BorderlineSmote",A5))),    OR(ISNUMBER(SEARCH("RandomUnderSampler",A5)),ISNUMBER(SEARCH("ClusterCentroids",A5)),ISNUMBER(SEARCH("OneSidedSelection",A5)))   ),   "Over+Under",   IF(    OR(ISNUMBER(SEARCH("SMOTE",A5)),ISNUMBER(SEARCH("SVMSMOTE",A5)),ISNUMBER(SEARCH("RandomOverSampler",A5)),ISNUMBER(SEARCH("BorderlineSmote",A5))),    "Oversampling",    IF(     OR(ISNUMBER(SEARCH("RandomUnderSampler",A5)),ISNUMBER(SEARCH("ClusterCentroids",A5)),ISNUMBER(SEARCH("OneSidedSelection",A5))),     "Undersampler",     "Czysty"    )   )  ) )</f>
        <v>Hybrid</v>
      </c>
      <c r="C5" s="1" t="s">
        <v>14</v>
      </c>
      <c r="D5" s="1" t="n">
        <v>0.8871</v>
      </c>
      <c r="E5" s="1" t="n">
        <v>0.8785</v>
      </c>
      <c r="F5" s="1" t="n">
        <v>0.9139</v>
      </c>
      <c r="G5" s="1" t="n">
        <v>0.864</v>
      </c>
      <c r="I5" s="0" t="s">
        <v>14</v>
      </c>
      <c r="J5" s="0" t="n">
        <f aca="false">MAX(E3:E17)</f>
        <v>0.8861</v>
      </c>
      <c r="K5" s="0" t="str">
        <f aca="false">INDEX(A3:A17,    MATCH(   J5,   E3:E17, 0)    )</f>
        <v>RandomOverSampler</v>
      </c>
      <c r="L5" s="1"/>
      <c r="M5" s="1"/>
      <c r="N5" s="1"/>
    </row>
    <row r="6" customFormat="false" ht="13.8" hidden="false" customHeight="false" outlineLevel="0" collapsed="false">
      <c r="A6" s="1" t="s">
        <v>126</v>
      </c>
      <c r="B6" s="1" t="str">
        <f aca="false">IF(  OR(ISNUMBER(SEARCH("SMOTEENN",A6)),ISNUMBER(SEARCH("SMOTETomek",A6))),  "Hybrid",  IF(   AND(    OR(ISNUMBER(SEARCH("SMOTE",A6)),ISNUMBER(SEARCH("SVMSMOTE",A6)),ISNUMBER(SEARCH("RandomOverSampler",A6)),ISNUMBER(SEARCH("BorderlineSmote",A6))),    OR(ISNUMBER(SEARCH("RandomUnderSampler",A6)),ISNUMBER(SEARCH("ClusterCentroids",A6)),ISNUMBER(SEARCH("OneSidedSelection",A6)))   ),   "Over+Under",   IF(    OR(ISNUMBER(SEARCH("SMOTE",A6)),ISNUMBER(SEARCH("SVMSMOTE",A6)),ISNUMBER(SEARCH("RandomOverSampler",A6)),ISNUMBER(SEARCH("BorderlineSmote",A6))),    "Oversampling",    IF(     OR(ISNUMBER(SEARCH("RandomUnderSampler",A6)),ISNUMBER(SEARCH("ClusterCentroids",A6)),ISNUMBER(SEARCH("OneSidedSelection",A6))),     "Undersampler",     "Czysty"    )   )  ) )</f>
        <v>Oversampling</v>
      </c>
      <c r="C6" s="1" t="s">
        <v>14</v>
      </c>
      <c r="D6" s="1" t="n">
        <v>0.879</v>
      </c>
      <c r="E6" s="1" t="n">
        <v>0.8549</v>
      </c>
      <c r="F6" s="1" t="n">
        <v>0.9012</v>
      </c>
      <c r="G6" s="1" t="n">
        <v>0.8431</v>
      </c>
      <c r="I6" s="0" t="s">
        <v>74</v>
      </c>
      <c r="J6" s="0" t="n">
        <f aca="false">MAX(E18:E32)</f>
        <v>0.8955</v>
      </c>
      <c r="K6" s="0" t="str">
        <f aca="false">INDEX(A18:A32,    MATCH(   J6,   E18:E32, 0)    )</f>
        <v>BorderlineSmote</v>
      </c>
      <c r="L6" s="1"/>
      <c r="M6" s="1"/>
      <c r="N6" s="1"/>
    </row>
    <row r="7" customFormat="false" ht="13.8" hidden="false" customHeight="false" outlineLevel="0" collapsed="false">
      <c r="A7" s="1" t="s">
        <v>123</v>
      </c>
      <c r="B7" s="1" t="str">
        <f aca="false">IF(  OR(ISNUMBER(SEARCH("SMOTEENN",A7)),ISNUMBER(SEARCH("SMOTETomek",A7))),  "Hybrid",  IF(   AND(    OR(ISNUMBER(SEARCH("SMOTE",A7)),ISNUMBER(SEARCH("SVMSMOTE",A7)),ISNUMBER(SEARCH("RandomOverSampler",A7)),ISNUMBER(SEARCH("BorderlineSmote",A7))),    OR(ISNUMBER(SEARCH("RandomUnderSampler",A7)),ISNUMBER(SEARCH("ClusterCentroids",A7)),ISNUMBER(SEARCH("OneSidedSelection",A7)))   ),   "Over+Under",   IF(    OR(ISNUMBER(SEARCH("SMOTE",A7)),ISNUMBER(SEARCH("SVMSMOTE",A7)),ISNUMBER(SEARCH("RandomOverSampler",A7)),ISNUMBER(SEARCH("BorderlineSmote",A7))),    "Oversampling",    IF(     OR(ISNUMBER(SEARCH("RandomUnderSampler",A7)),ISNUMBER(SEARCH("ClusterCentroids",A7)),ISNUMBER(SEARCH("OneSidedSelection",A7))),     "Undersampler",     "Czysty"    )   )  ) )</f>
        <v>Oversampling</v>
      </c>
      <c r="C7" s="1" t="s">
        <v>14</v>
      </c>
      <c r="D7" s="1" t="n">
        <v>0.8683</v>
      </c>
      <c r="E7" s="1" t="n">
        <v>0.8455</v>
      </c>
      <c r="F7" s="1" t="n">
        <v>0.88</v>
      </c>
      <c r="G7" s="1" t="n">
        <v>0.834</v>
      </c>
      <c r="L7" s="1"/>
      <c r="M7" s="1"/>
      <c r="N7" s="1"/>
    </row>
    <row r="8" customFormat="false" ht="13.8" hidden="false" customHeight="false" outlineLevel="0" collapsed="false">
      <c r="A8" s="1" t="s">
        <v>83</v>
      </c>
      <c r="B8" s="1" t="str">
        <f aca="false">IF(  OR(ISNUMBER(SEARCH("SMOTEENN",A8)),ISNUMBER(SEARCH("SMOTETomek",A8))),  "Hybrid",  IF(   AND(    OR(ISNUMBER(SEARCH("SMOTE",A8)),ISNUMBER(SEARCH("SVMSMOTE",A8)),ISNUMBER(SEARCH("RandomOverSampler",A8)),ISNUMBER(SEARCH("BorderlineSmote",A8))),    OR(ISNUMBER(SEARCH("RandomUnderSampler",A8)),ISNUMBER(SEARCH("ClusterCentroids",A8)),ISNUMBER(SEARCH("OneSidedSelection",A8)))   ),   "Over+Under",   IF(    OR(ISNUMBER(SEARCH("SMOTE",A8)),ISNUMBER(SEARCH("SVMSMOTE",A8)),ISNUMBER(SEARCH("RandomOverSampler",A8)),ISNUMBER(SEARCH("BorderlineSmote",A8))),    "Oversampling",    IF(     OR(ISNUMBER(SEARCH("RandomUnderSampler",A8)),ISNUMBER(SEARCH("ClusterCentroids",A8)),ISNUMBER(SEARCH("OneSidedSelection",A8))),     "Undersampler",     "Czysty"    )   )  ) )</f>
        <v>Over+Under</v>
      </c>
      <c r="C8" s="1" t="s">
        <v>14</v>
      </c>
      <c r="D8" s="1" t="n">
        <v>0.8495</v>
      </c>
      <c r="E8" s="1" t="n">
        <v>0.8399</v>
      </c>
      <c r="F8" s="1" t="n">
        <v>0.8448</v>
      </c>
      <c r="G8" s="1" t="n">
        <v>0.8523</v>
      </c>
      <c r="I8" s="0" t="s">
        <v>17</v>
      </c>
      <c r="L8" s="1"/>
      <c r="M8" s="1"/>
      <c r="N8" s="1"/>
    </row>
    <row r="9" customFormat="false" ht="13.8" hidden="false" customHeight="false" outlineLevel="0" collapsed="false">
      <c r="A9" s="1" t="s">
        <v>82</v>
      </c>
      <c r="B9" s="1" t="str">
        <f aca="false">IF(  OR(ISNUMBER(SEARCH("SMOTEENN",A9)),ISNUMBER(SEARCH("SMOTETomek",A9))),  "Hybrid",  IF(   AND(    OR(ISNUMBER(SEARCH("SMOTE",A9)),ISNUMBER(SEARCH("SVMSMOTE",A9)),ISNUMBER(SEARCH("RandomOverSampler",A9)),ISNUMBER(SEARCH("BorderlineSmote",A9))),    OR(ISNUMBER(SEARCH("RandomUnderSampler",A9)),ISNUMBER(SEARCH("ClusterCentroids",A9)),ISNUMBER(SEARCH("OneSidedSelection",A9)))   ),   "Over+Under",   IF(    OR(ISNUMBER(SEARCH("SMOTE",A9)),ISNUMBER(SEARCH("SVMSMOTE",A9)),ISNUMBER(SEARCH("RandomOverSampler",A9)),ISNUMBER(SEARCH("BorderlineSmote",A9))),    "Oversampling",    IF(     OR(ISNUMBER(SEARCH("RandomUnderSampler",A9)),ISNUMBER(SEARCH("ClusterCentroids",A9)),ISNUMBER(SEARCH("OneSidedSelection",A9))),     "Undersampler",     "Czysty"    )   )  ) )</f>
        <v>Over+Under</v>
      </c>
      <c r="C9" s="1" t="s">
        <v>14</v>
      </c>
      <c r="D9" s="1" t="n">
        <v>0.8495</v>
      </c>
      <c r="E9" s="1" t="n">
        <v>0.8384</v>
      </c>
      <c r="F9" s="1" t="n">
        <v>0.8515</v>
      </c>
      <c r="G9" s="1" t="n">
        <v>0.8431</v>
      </c>
      <c r="I9" s="0" t="s">
        <v>14</v>
      </c>
      <c r="J9" s="0" t="n">
        <f aca="false">MAX(E36:E50)</f>
        <v>0.8496</v>
      </c>
      <c r="K9" s="0" t="str">
        <f aca="false">INDEX(A36:A65,    MATCH(   J9,   E36:E65, 0)    )</f>
        <v>HistGradientBoosting</v>
      </c>
      <c r="L9" s="1"/>
      <c r="M9" s="1"/>
      <c r="N9" s="1"/>
    </row>
    <row r="10" customFormat="false" ht="13.8" hidden="false" customHeight="false" outlineLevel="0" collapsed="false">
      <c r="A10" s="1" t="s">
        <v>125</v>
      </c>
      <c r="B10" s="1" t="str">
        <f aca="false">IF(  OR(ISNUMBER(SEARCH("SMOTEENN",A10)),ISNUMBER(SEARCH("SMOTETomek",A10))),  "Hybrid",  IF(   AND(    OR(ISNUMBER(SEARCH("SMOTE",A10)),ISNUMBER(SEARCH("SVMSMOTE",A10)),ISNUMBER(SEARCH("RandomOverSampler",A10)),ISNUMBER(SEARCH("BorderlineSmote",A10))),    OR(ISNUMBER(SEARCH("RandomUnderSampler",A10)),ISNUMBER(SEARCH("ClusterCentroids",A10)),ISNUMBER(SEARCH("OneSidedSelection",A10)))   ),   "Over+Under",   IF(    OR(ISNUMBER(SEARCH("SMOTE",A10)),ISNUMBER(SEARCH("SVMSMOTE",A10)),ISNUMBER(SEARCH("RandomOverSampler",A10)),ISNUMBER(SEARCH("BorderlineSmote",A10))),    "Oversampling",    IF(     OR(ISNUMBER(SEARCH("RandomUnderSampler",A10)),ISNUMBER(SEARCH("ClusterCentroids",A10)),ISNUMBER(SEARCH("OneSidedSelection",A10))),     "Undersampler",     "Czysty"    )   )  ) )</f>
        <v>Over+Under</v>
      </c>
      <c r="C10" s="1" t="s">
        <v>14</v>
      </c>
      <c r="D10" s="1" t="n">
        <v>0.8414</v>
      </c>
      <c r="E10" s="1" t="n">
        <v>0.8266</v>
      </c>
      <c r="F10" s="1" t="n">
        <v>0.8246</v>
      </c>
      <c r="G10" s="1" t="n">
        <v>0.8446</v>
      </c>
      <c r="I10" s="0" t="s">
        <v>74</v>
      </c>
      <c r="J10" s="0" t="n">
        <f aca="false">MAX(E51:E65)</f>
        <v>0.8451</v>
      </c>
      <c r="K10" s="0" t="str">
        <f aca="false">INDEX(A36:A65,    MATCH(   J10,   E36:E65, 0)    )</f>
        <v>RandomOverSampler</v>
      </c>
      <c r="L10" s="1"/>
      <c r="M10" s="1"/>
      <c r="N10" s="1"/>
    </row>
    <row r="11" customFormat="false" ht="13.8" hidden="false" customHeight="false" outlineLevel="0" collapsed="false">
      <c r="A11" s="1" t="s">
        <v>1</v>
      </c>
      <c r="B11" s="1" t="str">
        <f aca="false">IF(  OR(ISNUMBER(SEARCH("SMOTEENN",A11)),ISNUMBER(SEARCH("SMOTETomek",A11))),  "Hybrid",  IF(   AND(    OR(ISNUMBER(SEARCH("SMOTE",A11)),ISNUMBER(SEARCH("SVMSMOTE",A11)),ISNUMBER(SEARCH("RandomOverSampler",A11)),ISNUMBER(SEARCH("BorderlineSmote",A11))),    OR(ISNUMBER(SEARCH("RandomUnderSampler",A11)),ISNUMBER(SEARCH("ClusterCentroids",A11)),ISNUMBER(SEARCH("OneSidedSelection",A11)))   ),   "Over+Under",   IF(    OR(ISNUMBER(SEARCH("SMOTE",A11)),ISNUMBER(SEARCH("SVMSMOTE",A11)),ISNUMBER(SEARCH("RandomOverSampler",A11)),ISNUMBER(SEARCH("BorderlineSmote",A11))),    "Oversampling",    IF(     OR(ISNUMBER(SEARCH("RandomUnderSampler",A11)),ISNUMBER(SEARCH("ClusterCentroids",A11)),ISNUMBER(SEARCH("OneSidedSelection",A11))),     "Undersampler",     "Czysty"    )   )  ) )</f>
        <v>Czysty</v>
      </c>
      <c r="C11" s="1" t="s">
        <v>14</v>
      </c>
      <c r="D11" s="1" t="n">
        <v>0.8575</v>
      </c>
      <c r="E11" s="1" t="n">
        <v>0.8245</v>
      </c>
      <c r="F11" s="1" t="n">
        <v>0.9132</v>
      </c>
      <c r="G11" s="1" t="n">
        <v>0.8053</v>
      </c>
      <c r="L11" s="1"/>
      <c r="M11" s="1"/>
      <c r="N11" s="1"/>
    </row>
    <row r="12" customFormat="false" ht="13.8" hidden="false" customHeight="false" outlineLevel="0" collapsed="false">
      <c r="A12" s="1" t="s">
        <v>124</v>
      </c>
      <c r="B12" s="1" t="str">
        <f aca="false">IF(  OR(ISNUMBER(SEARCH("SMOTEENN",A12)),ISNUMBER(SEARCH("SMOTETomek",A12))),  "Hybrid",  IF(   AND(    OR(ISNUMBER(SEARCH("SMOTE",A12)),ISNUMBER(SEARCH("SVMSMOTE",A12)),ISNUMBER(SEARCH("RandomOverSampler",A12)),ISNUMBER(SEARCH("BorderlineSmote",A12))),    OR(ISNUMBER(SEARCH("RandomUnderSampler",A12)),ISNUMBER(SEARCH("ClusterCentroids",A12)),ISNUMBER(SEARCH("OneSidedSelection",A12)))   ),   "Over+Under",   IF(    OR(ISNUMBER(SEARCH("SMOTE",A12)),ISNUMBER(SEARCH("SVMSMOTE",A12)),ISNUMBER(SEARCH("RandomOverSampler",A12)),ISNUMBER(SEARCH("BorderlineSmote",A12))),    "Oversampling",    IF(     OR(ISNUMBER(SEARCH("RandomUnderSampler",A12)),ISNUMBER(SEARCH("ClusterCentroids",A12)),ISNUMBER(SEARCH("OneSidedSelection",A12))),     "Undersampler",     "Czysty"    )   )  ) )</f>
        <v>Over+Under</v>
      </c>
      <c r="C12" s="1" t="s">
        <v>14</v>
      </c>
      <c r="D12" s="1" t="n">
        <v>0.8414</v>
      </c>
      <c r="E12" s="1" t="n">
        <v>0.8236</v>
      </c>
      <c r="F12" s="1" t="n">
        <v>0.8222</v>
      </c>
      <c r="G12" s="1" t="n">
        <v>0.8387</v>
      </c>
      <c r="I12" s="0" t="s">
        <v>23</v>
      </c>
      <c r="L12" s="1"/>
      <c r="M12" s="1"/>
      <c r="N12" s="1"/>
    </row>
    <row r="13" customFormat="false" ht="13.8" hidden="false" customHeight="false" outlineLevel="0" collapsed="false">
      <c r="A13" s="1" t="s">
        <v>84</v>
      </c>
      <c r="B13" s="1" t="str">
        <f aca="false">IF(  OR(ISNUMBER(SEARCH("SMOTEENN",A13)),ISNUMBER(SEARCH("SMOTETomek",A13))),  "Hybrid",  IF(   AND(    OR(ISNUMBER(SEARCH("SMOTE",A13)),ISNUMBER(SEARCH("SVMSMOTE",A13)),ISNUMBER(SEARCH("RandomOverSampler",A13)),ISNUMBER(SEARCH("BorderlineSmote",A13))),    OR(ISNUMBER(SEARCH("RandomUnderSampler",A13)),ISNUMBER(SEARCH("ClusterCentroids",A13)),ISNUMBER(SEARCH("OneSidedSelection",A13)))   ),   "Over+Under",   IF(    OR(ISNUMBER(SEARCH("SMOTE",A13)),ISNUMBER(SEARCH("SVMSMOTE",A13)),ISNUMBER(SEARCH("RandomOverSampler",A13)),ISNUMBER(SEARCH("BorderlineSmote",A13))),    "Oversampling",    IF(     OR(ISNUMBER(SEARCH("RandomUnderSampler",A13)),ISNUMBER(SEARCH("ClusterCentroids",A13)),ISNUMBER(SEARCH("OneSidedSelection",A13))),     "Undersampler",     "Czysty"    )   )  ) )</f>
        <v>Over+Under</v>
      </c>
      <c r="C13" s="1" t="s">
        <v>14</v>
      </c>
      <c r="D13" s="1" t="n">
        <v>0.8441</v>
      </c>
      <c r="E13" s="1" t="n">
        <v>0.8136</v>
      </c>
      <c r="F13" s="1" t="n">
        <v>0.869</v>
      </c>
      <c r="G13" s="1" t="n">
        <v>0.8013</v>
      </c>
      <c r="I13" s="0" t="s">
        <v>14</v>
      </c>
      <c r="J13" s="1" t="n">
        <f aca="false">MAX(E69:E83)</f>
        <v>0.7719</v>
      </c>
      <c r="K13" s="1" t="str">
        <f aca="false">INDEX(A69:A98,    MATCH(   J13,   E69:E98, 0)    )</f>
        <v>SVMSMOTE</v>
      </c>
      <c r="L13" s="1"/>
      <c r="M13" s="1"/>
      <c r="N13" s="1"/>
    </row>
    <row r="14" customFormat="false" ht="13.8" hidden="false" customHeight="false" outlineLevel="0" collapsed="false">
      <c r="A14" s="1" t="s">
        <v>85</v>
      </c>
      <c r="B14" s="1" t="str">
        <f aca="false">IF(  OR(ISNUMBER(SEARCH("SMOTEENN",A14)),ISNUMBER(SEARCH("SMOTETomek",A14))),  "Hybrid",  IF(   AND(    OR(ISNUMBER(SEARCH("SMOTE",A14)),ISNUMBER(SEARCH("SVMSMOTE",A14)),ISNUMBER(SEARCH("RandomOverSampler",A14)),ISNUMBER(SEARCH("BorderlineSmote",A14))),    OR(ISNUMBER(SEARCH("RandomUnderSampler",A14)),ISNUMBER(SEARCH("ClusterCentroids",A14)),ISNUMBER(SEARCH("OneSidedSelection",A14)))   ),   "Over+Under",   IF(    OR(ISNUMBER(SEARCH("SMOTE",A14)),ISNUMBER(SEARCH("SVMSMOTE",A14)),ISNUMBER(SEARCH("RandomOverSampler",A14)),ISNUMBER(SEARCH("BorderlineSmote",A14))),    "Oversampling",    IF(     OR(ISNUMBER(SEARCH("RandomUnderSampler",A14)),ISNUMBER(SEARCH("ClusterCentroids",A14)),ISNUMBER(SEARCH("OneSidedSelection",A14))),     "Undersampler",     "Czysty"    )   )  ) )</f>
        <v>Over+Under</v>
      </c>
      <c r="C14" s="1" t="s">
        <v>14</v>
      </c>
      <c r="D14" s="1" t="n">
        <v>0.8253</v>
      </c>
      <c r="E14" s="1" t="n">
        <v>0.813</v>
      </c>
      <c r="F14" s="1" t="n">
        <v>0.8131</v>
      </c>
      <c r="G14" s="1" t="n">
        <v>0.825</v>
      </c>
      <c r="I14" s="0" t="s">
        <v>74</v>
      </c>
      <c r="J14" s="1" t="n">
        <f aca="false">MAX(E84:E98)</f>
        <v>0.7708</v>
      </c>
      <c r="K14" s="1" t="str">
        <f aca="false">INDEX(A69:A98,    MATCH(   J14,   E69:E98, 0)    )</f>
        <v>SVMSMOTE</v>
      </c>
      <c r="L14" s="1"/>
      <c r="M14" s="1"/>
      <c r="N14" s="1"/>
    </row>
    <row r="15" customFormat="false" ht="13.8" hidden="false" customHeight="false" outlineLevel="0" collapsed="false">
      <c r="A15" s="1" t="s">
        <v>86</v>
      </c>
      <c r="B15" s="1" t="str">
        <f aca="false">IF(  OR(ISNUMBER(SEARCH("SMOTEENN",A15)),ISNUMBER(SEARCH("SMOTETomek",A15))),  "Hybrid",  IF(   AND(    OR(ISNUMBER(SEARCH("SMOTE",A15)),ISNUMBER(SEARCH("SVMSMOTE",A15)),ISNUMBER(SEARCH("RandomOverSampler",A15)),ISNUMBER(SEARCH("BorderlineSmote",A15))),    OR(ISNUMBER(SEARCH("RandomUnderSampler",A15)),ISNUMBER(SEARCH("ClusterCentroids",A15)),ISNUMBER(SEARCH("OneSidedSelection",A15)))   ),   "Over+Under",   IF(    OR(ISNUMBER(SEARCH("SMOTE",A15)),ISNUMBER(SEARCH("SVMSMOTE",A15)),ISNUMBER(SEARCH("RandomOverSampler",A15)),ISNUMBER(SEARCH("BorderlineSmote",A15))),    "Oversampling",    IF(     OR(ISNUMBER(SEARCH("RandomUnderSampler",A15)),ISNUMBER(SEARCH("ClusterCentroids",A15)),ISNUMBER(SEARCH("OneSidedSelection",A15))),     "Undersampler",     "Czysty"    )   )  ) )</f>
        <v>Over+Under</v>
      </c>
      <c r="C15" s="1" t="s">
        <v>14</v>
      </c>
      <c r="D15" s="1" t="n">
        <v>0.7742</v>
      </c>
      <c r="E15" s="1" t="n">
        <v>0.7597</v>
      </c>
      <c r="F15" s="1" t="n">
        <v>0.7611</v>
      </c>
      <c r="G15" s="1" t="n">
        <v>0.7933</v>
      </c>
      <c r="L15" s="1"/>
      <c r="M15" s="1"/>
      <c r="N15" s="1"/>
    </row>
    <row r="16" customFormat="false" ht="13.8" hidden="false" customHeight="false" outlineLevel="0" collapsed="false">
      <c r="A16" s="1" t="s">
        <v>88</v>
      </c>
      <c r="B16" s="1" t="str">
        <f aca="false">IF(  OR(ISNUMBER(SEARCH("SMOTEENN",A16)),ISNUMBER(SEARCH("SMOTETomek",A16))),  "Hybrid",  IF(   AND(    OR(ISNUMBER(SEARCH("SMOTE",A16)),ISNUMBER(SEARCH("SVMSMOTE",A16)),ISNUMBER(SEARCH("RandomOverSampler",A16)),ISNUMBER(SEARCH("BorderlineSmote",A16))),    OR(ISNUMBER(SEARCH("RandomUnderSampler",A16)),ISNUMBER(SEARCH("ClusterCentroids",A16)),ISNUMBER(SEARCH("OneSidedSelection",A16)))   ),   "Over+Under",   IF(    OR(ISNUMBER(SEARCH("SMOTE",A16)),ISNUMBER(SEARCH("SVMSMOTE",A16)),ISNUMBER(SEARCH("RandomOverSampler",A16)),ISNUMBER(SEARCH("BorderlineSmote",A16))),    "Oversampling",    IF(     OR(ISNUMBER(SEARCH("RandomUnderSampler",A16)),ISNUMBER(SEARCH("ClusterCentroids",A16)),ISNUMBER(SEARCH("OneSidedSelection",A16))),     "Undersampler",     "Czysty"    )   )  ) )</f>
        <v>Over+Under</v>
      </c>
      <c r="C16" s="1" t="s">
        <v>14</v>
      </c>
      <c r="D16" s="1" t="n">
        <v>0.8011</v>
      </c>
      <c r="E16" s="1" t="n">
        <v>0.75</v>
      </c>
      <c r="F16" s="1" t="n">
        <v>0.7656</v>
      </c>
      <c r="G16" s="1" t="n">
        <v>0.776</v>
      </c>
      <c r="I16" s="0" t="s">
        <v>26</v>
      </c>
      <c r="L16" s="1"/>
      <c r="M16" s="1"/>
      <c r="N16" s="1"/>
    </row>
    <row r="17" customFormat="false" ht="13.8" hidden="false" customHeight="false" outlineLevel="0" collapsed="false">
      <c r="A17" s="1" t="s">
        <v>87</v>
      </c>
      <c r="B17" s="1" t="str">
        <f aca="false">IF(  OR(ISNUMBER(SEARCH("SMOTEENN",A17)),ISNUMBER(SEARCH("SMOTETomek",A17))),  "Hybrid",  IF(   AND(    OR(ISNUMBER(SEARCH("SMOTE",A17)),ISNUMBER(SEARCH("SVMSMOTE",A17)),ISNUMBER(SEARCH("RandomOverSampler",A17)),ISNUMBER(SEARCH("BorderlineSmote",A17))),    OR(ISNUMBER(SEARCH("RandomUnderSampler",A17)),ISNUMBER(SEARCH("ClusterCentroids",A17)),ISNUMBER(SEARCH("OneSidedSelection",A17)))   ),   "Over+Under",   IF(    OR(ISNUMBER(SEARCH("SMOTE",A17)),ISNUMBER(SEARCH("SVMSMOTE",A17)),ISNUMBER(SEARCH("RandomOverSampler",A17)),ISNUMBER(SEARCH("BorderlineSmote",A17))),    "Oversampling",    IF(     OR(ISNUMBER(SEARCH("RandomUnderSampler",A17)),ISNUMBER(SEARCH("ClusterCentroids",A17)),ISNUMBER(SEARCH("OneSidedSelection",A17))),     "Undersampler",     "Czysty"    )   )  ) )</f>
        <v>Hybrid</v>
      </c>
      <c r="C17" s="1" t="s">
        <v>14</v>
      </c>
      <c r="D17" s="1" t="n">
        <v>0.6909</v>
      </c>
      <c r="E17" s="1" t="n">
        <v>0.6822</v>
      </c>
      <c r="F17" s="1" t="n">
        <v>0.7296</v>
      </c>
      <c r="G17" s="1" t="n">
        <v>0.7405</v>
      </c>
      <c r="I17" s="0" t="s">
        <v>14</v>
      </c>
      <c r="J17" s="1" t="n">
        <f aca="false">MAX(E102:E116)</f>
        <v>0.6799</v>
      </c>
      <c r="K17" s="1" t="str">
        <f aca="false">INDEX(A102:A131,    MATCH(   J17,   E102:E131, 0)    )</f>
        <v>AdaBoost</v>
      </c>
      <c r="L17" s="1"/>
      <c r="M17" s="1"/>
      <c r="N17" s="1"/>
    </row>
    <row r="18" customFormat="false" ht="13.8" hidden="false" customHeight="false" outlineLevel="0" collapsed="false">
      <c r="A18" s="1" t="s">
        <v>79</v>
      </c>
      <c r="B18" s="1" t="str">
        <f aca="false">IF(  OR(ISNUMBER(SEARCH("SMOTEENN",A18)),ISNUMBER(SEARCH("SMOTETomek",A18))),  "Hybrid",  IF(   AND(    OR(ISNUMBER(SEARCH("SMOTE",A18)),ISNUMBER(SEARCH("SVMSMOTE",A18)),ISNUMBER(SEARCH("RandomOverSampler",A18)),ISNUMBER(SEARCH("BorderlineSmote",A18))),    OR(ISNUMBER(SEARCH("RandomUnderSampler",A18)),ISNUMBER(SEARCH("ClusterCentroids",A18)),ISNUMBER(SEARCH("OneSidedSelection",A18)))   ),   "Over+Under",   IF(    OR(ISNUMBER(SEARCH("SMOTE",A18)),ISNUMBER(SEARCH("SVMSMOTE",A18)),ISNUMBER(SEARCH("RandomOverSampler",A18)),ISNUMBER(SEARCH("BorderlineSmote",A18))),    "Oversampling",    IF(     OR(ISNUMBER(SEARCH("RandomUnderSampler",A18)),ISNUMBER(SEARCH("ClusterCentroids",A18)),ISNUMBER(SEARCH("OneSidedSelection",A18))),     "Undersampler",     "Czysty"    )   )  ) )</f>
        <v>Oversampling</v>
      </c>
      <c r="C18" s="1" t="s">
        <v>74</v>
      </c>
      <c r="D18" s="1" t="n">
        <v>0.9086</v>
      </c>
      <c r="E18" s="1" t="n">
        <v>0.8955</v>
      </c>
      <c r="F18" s="1" t="n">
        <v>0.9205</v>
      </c>
      <c r="G18" s="1" t="n">
        <v>0.8838</v>
      </c>
      <c r="I18" s="0" t="s">
        <v>74</v>
      </c>
      <c r="J18" s="1" t="n">
        <f aca="false">MAX(E117:E131)</f>
        <v>0.6515</v>
      </c>
      <c r="K18" s="1" t="str">
        <f aca="false">INDEX(A102:A131,    MATCH(   J18,   E102:E131, 0)    )</f>
        <v>AdaBoost</v>
      </c>
      <c r="L18" s="1"/>
      <c r="M18" s="1"/>
      <c r="N18" s="1"/>
    </row>
    <row r="19" customFormat="false" ht="13.8" hidden="false" customHeight="false" outlineLevel="0" collapsed="false">
      <c r="A19" s="1" t="s">
        <v>80</v>
      </c>
      <c r="B19" s="1" t="str">
        <f aca="false">IF(  OR(ISNUMBER(SEARCH("SMOTEENN",A19)),ISNUMBER(SEARCH("SMOTETomek",A19))),  "Hybrid",  IF(   AND(    OR(ISNUMBER(SEARCH("SMOTE",A19)),ISNUMBER(SEARCH("SVMSMOTE",A19)),ISNUMBER(SEARCH("RandomOverSampler",A19)),ISNUMBER(SEARCH("BorderlineSmote",A19))),    OR(ISNUMBER(SEARCH("RandomUnderSampler",A19)),ISNUMBER(SEARCH("ClusterCentroids",A19)),ISNUMBER(SEARCH("OneSidedSelection",A19)))   ),   "Over+Under",   IF(    OR(ISNUMBER(SEARCH("SMOTE",A19)),ISNUMBER(SEARCH("SVMSMOTE",A19)),ISNUMBER(SEARCH("RandomOverSampler",A19)),ISNUMBER(SEARCH("BorderlineSmote",A19))),    "Oversampling",    IF(     OR(ISNUMBER(SEARCH("RandomUnderSampler",A19)),ISNUMBER(SEARCH("ClusterCentroids",A19)),ISNUMBER(SEARCH("OneSidedSelection",A19))),     "Undersampler",     "Czysty"    )   )  ) )</f>
        <v>Hybrid</v>
      </c>
      <c r="C19" s="1" t="s">
        <v>74</v>
      </c>
      <c r="D19" s="1" t="n">
        <v>0.9059</v>
      </c>
      <c r="E19" s="1" t="n">
        <v>0.8942</v>
      </c>
      <c r="F19" s="1" t="n">
        <v>0.9228</v>
      </c>
      <c r="G19" s="1" t="n">
        <v>0.8802</v>
      </c>
      <c r="I19" s="1"/>
      <c r="J19" s="1"/>
      <c r="K19" s="1"/>
      <c r="L19" s="1"/>
      <c r="M19" s="1"/>
      <c r="N19" s="1"/>
    </row>
    <row r="20" customFormat="false" ht="13.8" hidden="false" customHeight="false" outlineLevel="0" collapsed="false">
      <c r="A20" s="1" t="s">
        <v>126</v>
      </c>
      <c r="B20" s="1" t="str">
        <f aca="false">IF(  OR(ISNUMBER(SEARCH("SMOTEENN",A20)),ISNUMBER(SEARCH("SMOTETomek",A20))),  "Hybrid",  IF(   AND(    OR(ISNUMBER(SEARCH("SMOTE",A20)),ISNUMBER(SEARCH("SVMSMOTE",A20)),ISNUMBER(SEARCH("RandomOverSampler",A20)),ISNUMBER(SEARCH("BorderlineSmote",A20))),    OR(ISNUMBER(SEARCH("RandomUnderSampler",A20)),ISNUMBER(SEARCH("ClusterCentroids",A20)),ISNUMBER(SEARCH("OneSidedSelection",A20)))   ),   "Over+Under",   IF(    OR(ISNUMBER(SEARCH("SMOTE",A20)),ISNUMBER(SEARCH("SVMSMOTE",A20)),ISNUMBER(SEARCH("RandomOverSampler",A20)),ISNUMBER(SEARCH("BorderlineSmote",A20))),    "Oversampling",    IF(     OR(ISNUMBER(SEARCH("RandomUnderSampler",A20)),ISNUMBER(SEARCH("ClusterCentroids",A20)),ISNUMBER(SEARCH("OneSidedSelection",A20))),     "Undersampler",     "Czysty"    )   )  ) )</f>
        <v>Oversampling</v>
      </c>
      <c r="C20" s="1" t="s">
        <v>74</v>
      </c>
      <c r="D20" s="1" t="n">
        <v>0.9005</v>
      </c>
      <c r="E20" s="1" t="n">
        <v>0.8872</v>
      </c>
      <c r="F20" s="1" t="n">
        <v>0.9084</v>
      </c>
      <c r="G20" s="1" t="n">
        <v>0.8755</v>
      </c>
      <c r="I20" s="1"/>
      <c r="J20" s="1"/>
      <c r="K20" s="1"/>
      <c r="L20" s="1"/>
      <c r="M20" s="1"/>
      <c r="N20" s="1"/>
    </row>
    <row r="21" customFormat="false" ht="13.8" hidden="false" customHeight="false" outlineLevel="0" collapsed="false">
      <c r="A21" s="1" t="s">
        <v>81</v>
      </c>
      <c r="B21" s="1" t="str">
        <f aca="false">IF(  OR(ISNUMBER(SEARCH("SMOTEENN",A21)),ISNUMBER(SEARCH("SMOTETomek",A21))),  "Hybrid",  IF(   AND(    OR(ISNUMBER(SEARCH("SMOTE",A21)),ISNUMBER(SEARCH("SVMSMOTE",A21)),ISNUMBER(SEARCH("RandomOverSampler",A21)),ISNUMBER(SEARCH("BorderlineSmote",A21))),    OR(ISNUMBER(SEARCH("RandomUnderSampler",A21)),ISNUMBER(SEARCH("ClusterCentroids",A21)),ISNUMBER(SEARCH("OneSidedSelection",A21)))   ),   "Over+Under",   IF(    OR(ISNUMBER(SEARCH("SMOTE",A21)),ISNUMBER(SEARCH("SVMSMOTE",A21)),ISNUMBER(SEARCH("RandomOverSampler",A21)),ISNUMBER(SEARCH("BorderlineSmote",A21))),    "Oversampling",    IF(     OR(ISNUMBER(SEARCH("RandomUnderSampler",A21)),ISNUMBER(SEARCH("ClusterCentroids",A21)),ISNUMBER(SEARCH("OneSidedSelection",A21))),     "Undersampler",     "Czysty"    )   )  ) )</f>
        <v>Oversampling</v>
      </c>
      <c r="C21" s="1" t="s">
        <v>74</v>
      </c>
      <c r="D21" s="1" t="n">
        <v>0.8978</v>
      </c>
      <c r="E21" s="1" t="n">
        <v>0.8754</v>
      </c>
      <c r="F21" s="1" t="n">
        <v>0.9103</v>
      </c>
      <c r="G21" s="1" t="n">
        <v>0.861</v>
      </c>
      <c r="I21" s="1"/>
      <c r="J21" s="1"/>
      <c r="K21" s="1"/>
      <c r="L21" s="1"/>
      <c r="M21" s="1"/>
      <c r="N21" s="1"/>
    </row>
    <row r="22" customFormat="false" ht="13.8" hidden="false" customHeight="false" outlineLevel="0" collapsed="false">
      <c r="A22" s="1" t="s">
        <v>1</v>
      </c>
      <c r="B22" s="1" t="str">
        <f aca="false">IF(  OR(ISNUMBER(SEARCH("SMOTEENN",A22)),ISNUMBER(SEARCH("SMOTETomek",A22))),  "Hybrid",  IF(   AND(    OR(ISNUMBER(SEARCH("SMOTE",A22)),ISNUMBER(SEARCH("SVMSMOTE",A22)),ISNUMBER(SEARCH("RandomOverSampler",A22)),ISNUMBER(SEARCH("BorderlineSmote",A22))),    OR(ISNUMBER(SEARCH("RandomUnderSampler",A22)),ISNUMBER(SEARCH("ClusterCentroids",A22)),ISNUMBER(SEARCH("OneSidedSelection",A22)))   ),   "Over+Under",   IF(    OR(ISNUMBER(SEARCH("SMOTE",A22)),ISNUMBER(SEARCH("SVMSMOTE",A22)),ISNUMBER(SEARCH("RandomOverSampler",A22)),ISNUMBER(SEARCH("BorderlineSmote",A22))),    "Oversampling",    IF(     OR(ISNUMBER(SEARCH("RandomUnderSampler",A22)),ISNUMBER(SEARCH("ClusterCentroids",A22)),ISNUMBER(SEARCH("OneSidedSelection",A22))),     "Undersampler",     "Czysty"    )   )  ) )</f>
        <v>Czysty</v>
      </c>
      <c r="C22" s="1" t="s">
        <v>74</v>
      </c>
      <c r="D22" s="1" t="n">
        <v>0.879</v>
      </c>
      <c r="E22" s="1" t="n">
        <v>0.8585</v>
      </c>
      <c r="F22" s="1" t="n">
        <v>0.9077</v>
      </c>
      <c r="G22" s="1" t="n">
        <v>0.8415</v>
      </c>
      <c r="I22" s="1"/>
      <c r="J22" s="1"/>
      <c r="K22" s="1"/>
      <c r="L22" s="1"/>
      <c r="M22" s="1"/>
      <c r="N22" s="1"/>
    </row>
    <row r="23" customFormat="false" ht="13.8" hidden="false" customHeight="false" outlineLevel="0" collapsed="false">
      <c r="A23" s="1" t="s">
        <v>123</v>
      </c>
      <c r="B23" s="1" t="str">
        <f aca="false">IF(  OR(ISNUMBER(SEARCH("SMOTEENN",A23)),ISNUMBER(SEARCH("SMOTETomek",A23))),  "Hybrid",  IF(   AND(    OR(ISNUMBER(SEARCH("SMOTE",A23)),ISNUMBER(SEARCH("SVMSMOTE",A23)),ISNUMBER(SEARCH("RandomOverSampler",A23)),ISNUMBER(SEARCH("BorderlineSmote",A23))),    OR(ISNUMBER(SEARCH("RandomUnderSampler",A23)),ISNUMBER(SEARCH("ClusterCentroids",A23)),ISNUMBER(SEARCH("OneSidedSelection",A23)))   ),   "Over+Under",   IF(    OR(ISNUMBER(SEARCH("SMOTE",A23)),ISNUMBER(SEARCH("SVMSMOTE",A23)),ISNUMBER(SEARCH("RandomOverSampler",A23)),ISNUMBER(SEARCH("BorderlineSmote",A23))),    "Oversampling",    IF(     OR(ISNUMBER(SEARCH("RandomUnderSampler",A23)),ISNUMBER(SEARCH("ClusterCentroids",A23)),ISNUMBER(SEARCH("OneSidedSelection",A23))),     "Undersampler",     "Czysty"    )   )  ) )</f>
        <v>Oversampling</v>
      </c>
      <c r="C23" s="1" t="s">
        <v>74</v>
      </c>
      <c r="D23" s="1" t="n">
        <v>0.8763</v>
      </c>
      <c r="E23" s="1" t="n">
        <v>0.8556</v>
      </c>
      <c r="F23" s="1" t="n">
        <v>0.8801</v>
      </c>
      <c r="G23" s="1" t="n">
        <v>0.8483</v>
      </c>
      <c r="I23" s="1"/>
      <c r="J23" s="1"/>
      <c r="K23" s="1"/>
      <c r="L23" s="1"/>
      <c r="M23" s="1"/>
      <c r="N23" s="1"/>
    </row>
    <row r="24" customFormat="false" ht="13.8" hidden="false" customHeight="false" outlineLevel="0" collapsed="false">
      <c r="A24" s="1" t="s">
        <v>124</v>
      </c>
      <c r="B24" s="1" t="str">
        <f aca="false">IF(  OR(ISNUMBER(SEARCH("SMOTEENN",A24)),ISNUMBER(SEARCH("SMOTETomek",A24))),  "Hybrid",  IF(   AND(    OR(ISNUMBER(SEARCH("SMOTE",A24)),ISNUMBER(SEARCH("SVMSMOTE",A24)),ISNUMBER(SEARCH("RandomOverSampler",A24)),ISNUMBER(SEARCH("BorderlineSmote",A24))),    OR(ISNUMBER(SEARCH("RandomUnderSampler",A24)),ISNUMBER(SEARCH("ClusterCentroids",A24)),ISNUMBER(SEARCH("OneSidedSelection",A24)))   ),   "Over+Under",   IF(    OR(ISNUMBER(SEARCH("SMOTE",A24)),ISNUMBER(SEARCH("SVMSMOTE",A24)),ISNUMBER(SEARCH("RandomOverSampler",A24)),ISNUMBER(SEARCH("BorderlineSmote",A24))),    "Oversampling",    IF(     OR(ISNUMBER(SEARCH("RandomUnderSampler",A24)),ISNUMBER(SEARCH("ClusterCentroids",A24)),ISNUMBER(SEARCH("OneSidedSelection",A24))),     "Undersampler",     "Czysty"    )   )  ) )</f>
        <v>Over+Under</v>
      </c>
      <c r="C24" s="1" t="s">
        <v>74</v>
      </c>
      <c r="D24" s="1" t="n">
        <v>0.8548</v>
      </c>
      <c r="E24" s="1" t="n">
        <v>0.8428</v>
      </c>
      <c r="F24" s="1" t="n">
        <v>0.8525</v>
      </c>
      <c r="G24" s="1" t="n">
        <v>0.8493</v>
      </c>
      <c r="I24" s="1"/>
      <c r="J24" s="1"/>
      <c r="K24" s="1"/>
      <c r="L24" s="1"/>
      <c r="M24" s="1"/>
      <c r="N24" s="1"/>
    </row>
    <row r="25" customFormat="false" ht="13.8" hidden="false" customHeight="false" outlineLevel="0" collapsed="false">
      <c r="A25" s="1" t="s">
        <v>82</v>
      </c>
      <c r="B25" s="1" t="str">
        <f aca="false">IF(  OR(ISNUMBER(SEARCH("SMOTEENN",A25)),ISNUMBER(SEARCH("SMOTETomek",A25))),  "Hybrid",  IF(   AND(    OR(ISNUMBER(SEARCH("SMOTE",A25)),ISNUMBER(SEARCH("SVMSMOTE",A25)),ISNUMBER(SEARCH("RandomOverSampler",A25)),ISNUMBER(SEARCH("BorderlineSmote",A25))),    OR(ISNUMBER(SEARCH("RandomUnderSampler",A25)),ISNUMBER(SEARCH("ClusterCentroids",A25)),ISNUMBER(SEARCH("OneSidedSelection",A25)))   ),   "Over+Under",   IF(    OR(ISNUMBER(SEARCH("SMOTE",A25)),ISNUMBER(SEARCH("SVMSMOTE",A25)),ISNUMBER(SEARCH("RandomOverSampler",A25)),ISNUMBER(SEARCH("BorderlineSmote",A25))),    "Oversampling",    IF(     OR(ISNUMBER(SEARCH("RandomUnderSampler",A25)),ISNUMBER(SEARCH("ClusterCentroids",A25)),ISNUMBER(SEARCH("OneSidedSelection",A25))),     "Undersampler",     "Czysty"    )   )  ) )</f>
        <v>Over+Under</v>
      </c>
      <c r="C25" s="1" t="s">
        <v>74</v>
      </c>
      <c r="D25" s="1" t="n">
        <v>0.8495</v>
      </c>
      <c r="E25" s="1" t="n">
        <v>0.8408</v>
      </c>
      <c r="F25" s="1" t="n">
        <v>0.8754</v>
      </c>
      <c r="G25" s="1" t="n">
        <v>0.842</v>
      </c>
      <c r="I25" s="1"/>
      <c r="J25" s="1"/>
      <c r="K25" s="1"/>
      <c r="L25" s="1"/>
      <c r="M25" s="1"/>
      <c r="N25" s="1"/>
    </row>
    <row r="26" customFormat="false" ht="13.8" hidden="false" customHeight="false" outlineLevel="0" collapsed="false">
      <c r="A26" s="1" t="s">
        <v>83</v>
      </c>
      <c r="B26" s="1" t="str">
        <f aca="false">IF(  OR(ISNUMBER(SEARCH("SMOTEENN",A26)),ISNUMBER(SEARCH("SMOTETomek",A26))),  "Hybrid",  IF(   AND(    OR(ISNUMBER(SEARCH("SMOTE",A26)),ISNUMBER(SEARCH("SVMSMOTE",A26)),ISNUMBER(SEARCH("RandomOverSampler",A26)),ISNUMBER(SEARCH("BorderlineSmote",A26))),    OR(ISNUMBER(SEARCH("RandomUnderSampler",A26)),ISNUMBER(SEARCH("ClusterCentroids",A26)),ISNUMBER(SEARCH("OneSidedSelection",A26)))   ),   "Over+Under",   IF(    OR(ISNUMBER(SEARCH("SMOTE",A26)),ISNUMBER(SEARCH("SVMSMOTE",A26)),ISNUMBER(SEARCH("RandomOverSampler",A26)),ISNUMBER(SEARCH("BorderlineSmote",A26))),    "Oversampling",    IF(     OR(ISNUMBER(SEARCH("RandomUnderSampler",A26)),ISNUMBER(SEARCH("ClusterCentroids",A26)),ISNUMBER(SEARCH("OneSidedSelection",A26))),     "Undersampler",     "Czysty"    )   )  ) )</f>
        <v>Over+Under</v>
      </c>
      <c r="C26" s="1" t="s">
        <v>74</v>
      </c>
      <c r="D26" s="1" t="n">
        <v>0.8414</v>
      </c>
      <c r="E26" s="1" t="n">
        <v>0.8319</v>
      </c>
      <c r="F26" s="1" t="n">
        <v>0.8435</v>
      </c>
      <c r="G26" s="1" t="n">
        <v>0.848</v>
      </c>
      <c r="I26" s="1"/>
      <c r="J26" s="1"/>
      <c r="K26" s="1"/>
      <c r="L26" s="1"/>
      <c r="M26" s="1"/>
      <c r="N26" s="1"/>
    </row>
    <row r="27" customFormat="false" ht="13.8" hidden="false" customHeight="false" outlineLevel="0" collapsed="false">
      <c r="A27" s="1" t="s">
        <v>125</v>
      </c>
      <c r="B27" s="1" t="str">
        <f aca="false">IF(  OR(ISNUMBER(SEARCH("SMOTEENN",A27)),ISNUMBER(SEARCH("SMOTETomek",A27))),  "Hybrid",  IF(   AND(    OR(ISNUMBER(SEARCH("SMOTE",A27)),ISNUMBER(SEARCH("SVMSMOTE",A27)),ISNUMBER(SEARCH("RandomOverSampler",A27)),ISNUMBER(SEARCH("BorderlineSmote",A27))),    OR(ISNUMBER(SEARCH("RandomUnderSampler",A27)),ISNUMBER(SEARCH("ClusterCentroids",A27)),ISNUMBER(SEARCH("OneSidedSelection",A27)))   ),   "Over+Under",   IF(    OR(ISNUMBER(SEARCH("SMOTE",A27)),ISNUMBER(SEARCH("SVMSMOTE",A27)),ISNUMBER(SEARCH("RandomOverSampler",A27)),ISNUMBER(SEARCH("BorderlineSmote",A27))),    "Oversampling",    IF(     OR(ISNUMBER(SEARCH("RandomUnderSampler",A27)),ISNUMBER(SEARCH("ClusterCentroids",A27)),ISNUMBER(SEARCH("OneSidedSelection",A27))),     "Undersampler",     "Czysty"    )   )  ) )</f>
        <v>Over+Under</v>
      </c>
      <c r="C27" s="1" t="s">
        <v>74</v>
      </c>
      <c r="D27" s="1" t="n">
        <v>0.8441</v>
      </c>
      <c r="E27" s="1" t="n">
        <v>0.8305</v>
      </c>
      <c r="F27" s="1" t="n">
        <v>0.8253</v>
      </c>
      <c r="G27" s="1" t="n">
        <v>0.8481</v>
      </c>
      <c r="I27" s="1"/>
      <c r="J27" s="1"/>
      <c r="K27" s="1"/>
      <c r="L27" s="1"/>
      <c r="M27" s="1"/>
      <c r="N27" s="1"/>
    </row>
    <row r="28" customFormat="false" ht="13.8" hidden="false" customHeight="false" outlineLevel="0" collapsed="false">
      <c r="A28" s="1" t="s">
        <v>85</v>
      </c>
      <c r="B28" s="1" t="str">
        <f aca="false">IF(  OR(ISNUMBER(SEARCH("SMOTEENN",A28)),ISNUMBER(SEARCH("SMOTETomek",A28))),  "Hybrid",  IF(   AND(    OR(ISNUMBER(SEARCH("SMOTE",A28)),ISNUMBER(SEARCH("SVMSMOTE",A28)),ISNUMBER(SEARCH("RandomOverSampler",A28)),ISNUMBER(SEARCH("BorderlineSmote",A28))),    OR(ISNUMBER(SEARCH("RandomUnderSampler",A28)),ISNUMBER(SEARCH("ClusterCentroids",A28)),ISNUMBER(SEARCH("OneSidedSelection",A28)))   ),   "Over+Under",   IF(    OR(ISNUMBER(SEARCH("SMOTE",A28)),ISNUMBER(SEARCH("SVMSMOTE",A28)),ISNUMBER(SEARCH("RandomOverSampler",A28)),ISNUMBER(SEARCH("BorderlineSmote",A28))),    "Oversampling",    IF(     OR(ISNUMBER(SEARCH("RandomUnderSampler",A28)),ISNUMBER(SEARCH("ClusterCentroids",A28)),ISNUMBER(SEARCH("OneSidedSelection",A28))),     "Undersampler",     "Czysty"    )   )  ) )</f>
        <v>Over+Under</v>
      </c>
      <c r="C28" s="1" t="s">
        <v>74</v>
      </c>
      <c r="D28" s="1" t="n">
        <v>0.8118</v>
      </c>
      <c r="E28" s="1" t="n">
        <v>0.8</v>
      </c>
      <c r="F28" s="1" t="n">
        <v>0.803</v>
      </c>
      <c r="G28" s="1" t="n">
        <v>0.8168</v>
      </c>
      <c r="I28" s="1"/>
      <c r="J28" s="1"/>
      <c r="K28" s="1"/>
      <c r="L28" s="1"/>
      <c r="M28" s="1"/>
      <c r="N28" s="1"/>
    </row>
    <row r="29" customFormat="false" ht="13.8" hidden="false" customHeight="false" outlineLevel="0" collapsed="false">
      <c r="A29" s="1" t="s">
        <v>86</v>
      </c>
      <c r="B29" s="1" t="str">
        <f aca="false">IF(  OR(ISNUMBER(SEARCH("SMOTEENN",A29)),ISNUMBER(SEARCH("SMOTETomek",A29))),  "Hybrid",  IF(   AND(    OR(ISNUMBER(SEARCH("SMOTE",A29)),ISNUMBER(SEARCH("SVMSMOTE",A29)),ISNUMBER(SEARCH("RandomOverSampler",A29)),ISNUMBER(SEARCH("BorderlineSmote",A29))),    OR(ISNUMBER(SEARCH("RandomUnderSampler",A29)),ISNUMBER(SEARCH("ClusterCentroids",A29)),ISNUMBER(SEARCH("OneSidedSelection",A29)))   ),   "Over+Under",   IF(    OR(ISNUMBER(SEARCH("SMOTE",A29)),ISNUMBER(SEARCH("SVMSMOTE",A29)),ISNUMBER(SEARCH("RandomOverSampler",A29)),ISNUMBER(SEARCH("BorderlineSmote",A29))),    "Oversampling",    IF(     OR(ISNUMBER(SEARCH("RandomUnderSampler",A29)),ISNUMBER(SEARCH("ClusterCentroids",A29)),ISNUMBER(SEARCH("OneSidedSelection",A29))),     "Undersampler",     "Czysty"    )   )  ) )</f>
        <v>Over+Under</v>
      </c>
      <c r="C29" s="1" t="s">
        <v>74</v>
      </c>
      <c r="D29" s="1" t="n">
        <v>0.8011</v>
      </c>
      <c r="E29" s="1" t="n">
        <v>0.7933</v>
      </c>
      <c r="F29" s="1" t="n">
        <v>0.7991</v>
      </c>
      <c r="G29" s="1" t="n">
        <v>0.8215</v>
      </c>
      <c r="I29" s="1"/>
      <c r="J29" s="1"/>
      <c r="K29" s="1"/>
      <c r="L29" s="1"/>
      <c r="M29" s="1"/>
      <c r="N29" s="1"/>
    </row>
    <row r="30" customFormat="false" ht="13.8" hidden="false" customHeight="false" outlineLevel="0" collapsed="false">
      <c r="A30" s="1" t="s">
        <v>84</v>
      </c>
      <c r="B30" s="1" t="str">
        <f aca="false">IF(  OR(ISNUMBER(SEARCH("SMOTEENN",A30)),ISNUMBER(SEARCH("SMOTETomek",A30))),  "Hybrid",  IF(   AND(    OR(ISNUMBER(SEARCH("SMOTE",A30)),ISNUMBER(SEARCH("SVMSMOTE",A30)),ISNUMBER(SEARCH("RandomOverSampler",A30)),ISNUMBER(SEARCH("BorderlineSmote",A30))),    OR(ISNUMBER(SEARCH("RandomUnderSampler",A30)),ISNUMBER(SEARCH("ClusterCentroids",A30)),ISNUMBER(SEARCH("OneSidedSelection",A30)))   ),   "Over+Under",   IF(    OR(ISNUMBER(SEARCH("SMOTE",A30)),ISNUMBER(SEARCH("SVMSMOTE",A30)),ISNUMBER(SEARCH("RandomOverSampler",A30)),ISNUMBER(SEARCH("BorderlineSmote",A30))),    "Oversampling",    IF(     OR(ISNUMBER(SEARCH("RandomUnderSampler",A30)),ISNUMBER(SEARCH("ClusterCentroids",A30)),ISNUMBER(SEARCH("OneSidedSelection",A30))),     "Undersampler",     "Czysty"    )   )  ) )</f>
        <v>Over+Under</v>
      </c>
      <c r="C30" s="1" t="s">
        <v>74</v>
      </c>
      <c r="D30" s="1" t="n">
        <v>0.828</v>
      </c>
      <c r="E30" s="1" t="n">
        <v>0.7682</v>
      </c>
      <c r="F30" s="1" t="n">
        <v>0.8156</v>
      </c>
      <c r="G30" s="1" t="n">
        <v>0.7657</v>
      </c>
      <c r="I30" s="1"/>
      <c r="J30" s="1"/>
      <c r="K30" s="1"/>
      <c r="L30" s="1"/>
      <c r="M30" s="1"/>
      <c r="N30" s="1"/>
    </row>
    <row r="31" customFormat="false" ht="13.8" hidden="false" customHeight="false" outlineLevel="0" collapsed="false">
      <c r="A31" s="1" t="s">
        <v>88</v>
      </c>
      <c r="B31" s="1" t="str">
        <f aca="false">IF(  OR(ISNUMBER(SEARCH("SMOTEENN",A31)),ISNUMBER(SEARCH("SMOTETomek",A31))),  "Hybrid",  IF(   AND(    OR(ISNUMBER(SEARCH("SMOTE",A31)),ISNUMBER(SEARCH("SVMSMOTE",A31)),ISNUMBER(SEARCH("RandomOverSampler",A31)),ISNUMBER(SEARCH("BorderlineSmote",A31))),    OR(ISNUMBER(SEARCH("RandomUnderSampler",A31)),ISNUMBER(SEARCH("ClusterCentroids",A31)),ISNUMBER(SEARCH("OneSidedSelection",A31)))   ),   "Over+Under",   IF(    OR(ISNUMBER(SEARCH("SMOTE",A31)),ISNUMBER(SEARCH("SVMSMOTE",A31)),ISNUMBER(SEARCH("RandomOverSampler",A31)),ISNUMBER(SEARCH("BorderlineSmote",A31))),    "Oversampling",    IF(     OR(ISNUMBER(SEARCH("RandomUnderSampler",A31)),ISNUMBER(SEARCH("ClusterCentroids",A31)),ISNUMBER(SEARCH("OneSidedSelection",A31))),     "Undersampler",     "Czysty"    )   )  ) )</f>
        <v>Over+Under</v>
      </c>
      <c r="C31" s="1" t="s">
        <v>74</v>
      </c>
      <c r="D31" s="1" t="n">
        <v>0.8118</v>
      </c>
      <c r="E31" s="1" t="n">
        <v>0.7529</v>
      </c>
      <c r="F31" s="1" t="n">
        <v>0.7654</v>
      </c>
      <c r="G31" s="1" t="n">
        <v>0.7761</v>
      </c>
      <c r="I31" s="1"/>
      <c r="J31" s="1"/>
      <c r="K31" s="1"/>
      <c r="L31" s="1"/>
      <c r="M31" s="1"/>
      <c r="N31" s="1"/>
    </row>
    <row r="32" customFormat="false" ht="13.8" hidden="false" customHeight="false" outlineLevel="0" collapsed="false">
      <c r="A32" s="1" t="s">
        <v>87</v>
      </c>
      <c r="B32" s="1" t="str">
        <f aca="false">IF(  OR(ISNUMBER(SEARCH("SMOTEENN",A32)),ISNUMBER(SEARCH("SMOTETomek",A32))),  "Hybrid",  IF(   AND(    OR(ISNUMBER(SEARCH("SMOTE",A32)),ISNUMBER(SEARCH("SVMSMOTE",A32)),ISNUMBER(SEARCH("RandomOverSampler",A32)),ISNUMBER(SEARCH("BorderlineSmote",A32))),    OR(ISNUMBER(SEARCH("RandomUnderSampler",A32)),ISNUMBER(SEARCH("ClusterCentroids",A32)),ISNUMBER(SEARCH("OneSidedSelection",A32)))   ),   "Over+Under",   IF(    OR(ISNUMBER(SEARCH("SMOTE",A32)),ISNUMBER(SEARCH("SVMSMOTE",A32)),ISNUMBER(SEARCH("RandomOverSampler",A32)),ISNUMBER(SEARCH("BorderlineSmote",A32))),    "Oversampling",    IF(     OR(ISNUMBER(SEARCH("RandomUnderSampler",A32)),ISNUMBER(SEARCH("ClusterCentroids",A32)),ISNUMBER(SEARCH("OneSidedSelection",A32))),     "Undersampler",     "Czysty"    )   )  ) )</f>
        <v>Hybrid</v>
      </c>
      <c r="C32" s="1" t="s">
        <v>74</v>
      </c>
      <c r="D32" s="1" t="n">
        <v>0.7392</v>
      </c>
      <c r="E32" s="1" t="n">
        <v>0.7389</v>
      </c>
      <c r="F32" s="1" t="n">
        <v>0.7632</v>
      </c>
      <c r="G32" s="1" t="n">
        <v>0.7837</v>
      </c>
      <c r="I32" s="1"/>
      <c r="J32" s="1"/>
      <c r="K32" s="1"/>
      <c r="L32" s="1"/>
      <c r="M32" s="1"/>
      <c r="N32" s="1"/>
    </row>
    <row r="34" customFormat="false" ht="13.8" hidden="false" customHeight="false" outlineLevel="0" collapsed="false">
      <c r="A34" s="2" t="s">
        <v>17</v>
      </c>
      <c r="B34" s="2"/>
      <c r="C34" s="2"/>
      <c r="D34" s="2"/>
      <c r="E34" s="2"/>
      <c r="F34" s="2"/>
      <c r="G34" s="2"/>
    </row>
    <row r="35" customFormat="false" ht="13.8" hidden="false" customHeight="false" outlineLevel="0" collapsed="false">
      <c r="A35" s="4" t="s">
        <v>2</v>
      </c>
      <c r="B35" s="4" t="s">
        <v>4</v>
      </c>
      <c r="C35" s="4" t="s">
        <v>5</v>
      </c>
      <c r="D35" s="4" t="s">
        <v>6</v>
      </c>
      <c r="E35" s="4" t="s">
        <v>127</v>
      </c>
      <c r="F35" s="4" t="s">
        <v>9</v>
      </c>
      <c r="G35" s="4" t="s">
        <v>10</v>
      </c>
    </row>
    <row r="36" customFormat="false" ht="13.8" hidden="false" customHeight="false" outlineLevel="0" collapsed="false">
      <c r="A36" s="1" t="s">
        <v>17</v>
      </c>
      <c r="B36" s="1" t="str">
        <f aca="false">IF(  OR(ISNUMBER(SEARCH("SMOTEENN",A36)),ISNUMBER(SEARCH("SMOTETomek",A36))),  "Hybrid",  IF(   AND(    OR(ISNUMBER(SEARCH("SMOTE",A36)),ISNUMBER(SEARCH("SVMSMOTE",A36)),ISNUMBER(SEARCH("RandomOverSampler",A36)),ISNUMBER(SEARCH("BorderlineSmote",A36))),    OR(ISNUMBER(SEARCH("RandomUnderSampler",A36)),ISNUMBER(SEARCH("ClusterCentroids",A36)),ISNUMBER(SEARCH("OneSidedSelection",A36)))   ),   "Over+Under",   IF(    OR(ISNUMBER(SEARCH("SMOTE",A36)),ISNUMBER(SEARCH("SVMSMOTE",A36)),ISNUMBER(SEARCH("RandomOverSampler",A36)),ISNUMBER(SEARCH("BorderlineSmote",A36))),    "Oversampling",    IF(     OR(ISNUMBER(SEARCH("RandomUnderSampler",A36)),ISNUMBER(SEARCH("ClusterCentroids",A36)),ISNUMBER(SEARCH("OneSidedSelection",A36))),     "Undersampler",     "Czysty"    )   )  ) )</f>
        <v>Czysty</v>
      </c>
      <c r="C36" s="1" t="s">
        <v>14</v>
      </c>
      <c r="D36" s="1" t="n">
        <v>0.8737</v>
      </c>
      <c r="E36" s="1" t="n">
        <v>0.8496</v>
      </c>
      <c r="F36" s="1" t="n">
        <v>0.8757</v>
      </c>
      <c r="G36" s="1" t="n">
        <v>0.8425</v>
      </c>
      <c r="I36" s="1"/>
      <c r="J36" s="1"/>
      <c r="K36" s="1"/>
      <c r="L36" s="1"/>
      <c r="M36" s="1"/>
      <c r="N36" s="1"/>
    </row>
    <row r="37" customFormat="false" ht="13.8" hidden="false" customHeight="false" outlineLevel="0" collapsed="false">
      <c r="A37" s="1" t="s">
        <v>81</v>
      </c>
      <c r="B37" s="1" t="str">
        <f aca="false">IF(  OR(ISNUMBER(SEARCH("SMOTEENN",A37)),ISNUMBER(SEARCH("SMOTETomek",A37))),  "Hybrid",  IF(   AND(    OR(ISNUMBER(SEARCH("SMOTE",A37)),ISNUMBER(SEARCH("SVMSMOTE",A37)),ISNUMBER(SEARCH("RandomOverSampler",A37)),ISNUMBER(SEARCH("BorderlineSmote",A37))),    OR(ISNUMBER(SEARCH("RandomUnderSampler",A37)),ISNUMBER(SEARCH("ClusterCentroids",A37)),ISNUMBER(SEARCH("OneSidedSelection",A37)))   ),   "Over+Under",   IF(    OR(ISNUMBER(SEARCH("SMOTE",A37)),ISNUMBER(SEARCH("SVMSMOTE",A37)),ISNUMBER(SEARCH("RandomOverSampler",A37)),ISNUMBER(SEARCH("BorderlineSmote",A37))),    "Oversampling",    IF(     OR(ISNUMBER(SEARCH("RandomUnderSampler",A37)),ISNUMBER(SEARCH("ClusterCentroids",A37)),ISNUMBER(SEARCH("OneSidedSelection",A37))),     "Undersampler",     "Czysty"    )   )  ) )</f>
        <v>Oversampling</v>
      </c>
      <c r="C37" s="1" t="s">
        <v>14</v>
      </c>
      <c r="D37" s="1" t="n">
        <v>0.8414</v>
      </c>
      <c r="E37" s="1" t="n">
        <v>0.8259</v>
      </c>
      <c r="F37" s="1" t="n">
        <v>0.8391</v>
      </c>
      <c r="G37" s="1" t="n">
        <v>0.8302</v>
      </c>
      <c r="I37" s="1"/>
      <c r="J37" s="1"/>
      <c r="K37" s="1"/>
      <c r="L37" s="1"/>
      <c r="M37" s="1"/>
      <c r="N37" s="1"/>
    </row>
    <row r="38" customFormat="false" ht="13.8" hidden="false" customHeight="false" outlineLevel="0" collapsed="false">
      <c r="A38" s="1" t="s">
        <v>126</v>
      </c>
      <c r="B38" s="1" t="str">
        <f aca="false">IF(  OR(ISNUMBER(SEARCH("SMOTEENN",A38)),ISNUMBER(SEARCH("SMOTETomek",A38))),  "Hybrid",  IF(   AND(    OR(ISNUMBER(SEARCH("SMOTE",A38)),ISNUMBER(SEARCH("SVMSMOTE",A38)),ISNUMBER(SEARCH("RandomOverSampler",A38)),ISNUMBER(SEARCH("BorderlineSmote",A38))),    OR(ISNUMBER(SEARCH("RandomUnderSampler",A38)),ISNUMBER(SEARCH("ClusterCentroids",A38)),ISNUMBER(SEARCH("OneSidedSelection",A38)))   ),   "Over+Under",   IF(    OR(ISNUMBER(SEARCH("SMOTE",A38)),ISNUMBER(SEARCH("SVMSMOTE",A38)),ISNUMBER(SEARCH("RandomOverSampler",A38)),ISNUMBER(SEARCH("BorderlineSmote",A38))),    "Oversampling",    IF(     OR(ISNUMBER(SEARCH("RandomUnderSampler",A38)),ISNUMBER(SEARCH("ClusterCentroids",A38)),ISNUMBER(SEARCH("OneSidedSelection",A38))),     "Undersampler",     "Czysty"    )   )  ) )</f>
        <v>Oversampling</v>
      </c>
      <c r="C38" s="1" t="s">
        <v>14</v>
      </c>
      <c r="D38" s="1" t="n">
        <v>0.8468</v>
      </c>
      <c r="E38" s="1" t="n">
        <v>0.8022</v>
      </c>
      <c r="F38" s="1" t="n">
        <v>0.8543</v>
      </c>
      <c r="G38" s="1" t="n">
        <v>0.7909</v>
      </c>
      <c r="I38" s="1"/>
      <c r="J38" s="1"/>
      <c r="K38" s="1"/>
      <c r="L38" s="1"/>
      <c r="M38" s="1"/>
      <c r="N38" s="1"/>
    </row>
    <row r="39" customFormat="false" ht="13.8" hidden="false" customHeight="false" outlineLevel="0" collapsed="false">
      <c r="A39" s="1" t="s">
        <v>79</v>
      </c>
      <c r="B39" s="1" t="str">
        <f aca="false">IF(  OR(ISNUMBER(SEARCH("SMOTEENN",A39)),ISNUMBER(SEARCH("SMOTETomek",A39))),  "Hybrid",  IF(   AND(    OR(ISNUMBER(SEARCH("SMOTE",A39)),ISNUMBER(SEARCH("SVMSMOTE",A39)),ISNUMBER(SEARCH("RandomOverSampler",A39)),ISNUMBER(SEARCH("BorderlineSmote",A39))),    OR(ISNUMBER(SEARCH("RandomUnderSampler",A39)),ISNUMBER(SEARCH("ClusterCentroids",A39)),ISNUMBER(SEARCH("OneSidedSelection",A39)))   ),   "Over+Under",   IF(    OR(ISNUMBER(SEARCH("SMOTE",A39)),ISNUMBER(SEARCH("SVMSMOTE",A39)),ISNUMBER(SEARCH("RandomOverSampler",A39)),ISNUMBER(SEARCH("BorderlineSmote",A39))),    "Oversampling",    IF(     OR(ISNUMBER(SEARCH("RandomUnderSampler",A39)),ISNUMBER(SEARCH("ClusterCentroids",A39)),ISNUMBER(SEARCH("OneSidedSelection",A39))),     "Undersampler",     "Czysty"    )   )  ) )</f>
        <v>Oversampling</v>
      </c>
      <c r="C39" s="1" t="s">
        <v>14</v>
      </c>
      <c r="D39" s="1" t="n">
        <v>0.8333</v>
      </c>
      <c r="E39" s="1" t="n">
        <v>0.7996</v>
      </c>
      <c r="F39" s="1" t="n">
        <v>0.8341</v>
      </c>
      <c r="G39" s="1" t="n">
        <v>0.789</v>
      </c>
      <c r="I39" s="1"/>
      <c r="J39" s="1"/>
      <c r="K39" s="1"/>
      <c r="L39" s="1"/>
      <c r="M39" s="1"/>
      <c r="N39" s="1"/>
    </row>
    <row r="40" customFormat="false" ht="13.8" hidden="false" customHeight="false" outlineLevel="0" collapsed="false">
      <c r="A40" s="1" t="s">
        <v>80</v>
      </c>
      <c r="B40" s="1" t="str">
        <f aca="false">IF(  OR(ISNUMBER(SEARCH("SMOTEENN",A40)),ISNUMBER(SEARCH("SMOTETomek",A40))),  "Hybrid",  IF(   AND(    OR(ISNUMBER(SEARCH("SMOTE",A40)),ISNUMBER(SEARCH("SVMSMOTE",A40)),ISNUMBER(SEARCH("RandomOverSampler",A40)),ISNUMBER(SEARCH("BorderlineSmote",A40))),    OR(ISNUMBER(SEARCH("RandomUnderSampler",A40)),ISNUMBER(SEARCH("ClusterCentroids",A40)),ISNUMBER(SEARCH("OneSidedSelection",A40)))   ),   "Over+Under",   IF(    OR(ISNUMBER(SEARCH("SMOTE",A40)),ISNUMBER(SEARCH("SVMSMOTE",A40)),ISNUMBER(SEARCH("RandomOverSampler",A40)),ISNUMBER(SEARCH("BorderlineSmote",A40))),    "Oversampling",    IF(     OR(ISNUMBER(SEARCH("RandomUnderSampler",A40)),ISNUMBER(SEARCH("ClusterCentroids",A40)),ISNUMBER(SEARCH("OneSidedSelection",A40))),     "Undersampler",     "Czysty"    )   )  ) )</f>
        <v>Hybrid</v>
      </c>
      <c r="C40" s="1" t="s">
        <v>14</v>
      </c>
      <c r="D40" s="1" t="n">
        <v>0.8172</v>
      </c>
      <c r="E40" s="1" t="n">
        <v>0.7801</v>
      </c>
      <c r="F40" s="1" t="n">
        <v>0.7886</v>
      </c>
      <c r="G40" s="1" t="n">
        <v>0.7778</v>
      </c>
      <c r="I40" s="1"/>
      <c r="J40" s="1"/>
      <c r="K40" s="1"/>
      <c r="L40" s="1"/>
      <c r="M40" s="1"/>
      <c r="N40" s="1"/>
    </row>
    <row r="41" customFormat="false" ht="13.8" hidden="false" customHeight="false" outlineLevel="0" collapsed="false">
      <c r="A41" s="1" t="s">
        <v>123</v>
      </c>
      <c r="B41" s="1" t="str">
        <f aca="false">IF(  OR(ISNUMBER(SEARCH("SMOTEENN",A41)),ISNUMBER(SEARCH("SMOTETomek",A41))),  "Hybrid",  IF(   AND(    OR(ISNUMBER(SEARCH("SMOTE",A41)),ISNUMBER(SEARCH("SVMSMOTE",A41)),ISNUMBER(SEARCH("RandomOverSampler",A41)),ISNUMBER(SEARCH("BorderlineSmote",A41))),    OR(ISNUMBER(SEARCH("RandomUnderSampler",A41)),ISNUMBER(SEARCH("ClusterCentroids",A41)),ISNUMBER(SEARCH("OneSidedSelection",A41)))   ),   "Over+Under",   IF(    OR(ISNUMBER(SEARCH("SMOTE",A41)),ISNUMBER(SEARCH("SVMSMOTE",A41)),ISNUMBER(SEARCH("RandomOverSampler",A41)),ISNUMBER(SEARCH("BorderlineSmote",A41))),    "Oversampling",    IF(     OR(ISNUMBER(SEARCH("RandomUnderSampler",A41)),ISNUMBER(SEARCH("ClusterCentroids",A41)),ISNUMBER(SEARCH("OneSidedSelection",A41))),     "Undersampler",     "Czysty"    )   )  ) )</f>
        <v>Oversampling</v>
      </c>
      <c r="C41" s="1" t="s">
        <v>14</v>
      </c>
      <c r="D41" s="1" t="n">
        <v>0.793</v>
      </c>
      <c r="E41" s="1" t="n">
        <v>0.7692</v>
      </c>
      <c r="F41" s="1" t="n">
        <v>0.788</v>
      </c>
      <c r="G41" s="1" t="n">
        <v>0.7653</v>
      </c>
      <c r="I41" s="1"/>
      <c r="J41" s="1"/>
      <c r="K41" s="1"/>
      <c r="L41" s="1"/>
      <c r="M41" s="1"/>
      <c r="N41" s="1"/>
    </row>
    <row r="42" customFormat="false" ht="13.8" hidden="false" customHeight="false" outlineLevel="0" collapsed="false">
      <c r="A42" s="1" t="s">
        <v>84</v>
      </c>
      <c r="B42" s="1" t="str">
        <f aca="false">IF(  OR(ISNUMBER(SEARCH("SMOTEENN",A42)),ISNUMBER(SEARCH("SMOTETomek",A42))),  "Hybrid",  IF(   AND(    OR(ISNUMBER(SEARCH("SMOTE",A42)),ISNUMBER(SEARCH("SVMSMOTE",A42)),ISNUMBER(SEARCH("RandomOverSampler",A42)),ISNUMBER(SEARCH("BorderlineSmote",A42))),    OR(ISNUMBER(SEARCH("RandomUnderSampler",A42)),ISNUMBER(SEARCH("ClusterCentroids",A42)),ISNUMBER(SEARCH("OneSidedSelection",A42)))   ),   "Over+Under",   IF(    OR(ISNUMBER(SEARCH("SMOTE",A42)),ISNUMBER(SEARCH("SVMSMOTE",A42)),ISNUMBER(SEARCH("RandomOverSampler",A42)),ISNUMBER(SEARCH("BorderlineSmote",A42))),    "Oversampling",    IF(     OR(ISNUMBER(SEARCH("RandomUnderSampler",A42)),ISNUMBER(SEARCH("ClusterCentroids",A42)),ISNUMBER(SEARCH("OneSidedSelection",A42))),     "Undersampler",     "Czysty"    )   )  ) )</f>
        <v>Over+Under</v>
      </c>
      <c r="C42" s="1" t="s">
        <v>14</v>
      </c>
      <c r="D42" s="1" t="n">
        <v>0.7903</v>
      </c>
      <c r="E42" s="1" t="n">
        <v>0.7575</v>
      </c>
      <c r="F42" s="1" t="n">
        <v>0.7942</v>
      </c>
      <c r="G42" s="1" t="n">
        <v>0.761</v>
      </c>
      <c r="I42" s="1"/>
      <c r="J42" s="1"/>
      <c r="K42" s="1"/>
      <c r="L42" s="1"/>
      <c r="M42" s="1"/>
      <c r="N42" s="1"/>
    </row>
    <row r="43" customFormat="false" ht="13.8" hidden="false" customHeight="false" outlineLevel="0" collapsed="false">
      <c r="A43" s="1" t="s">
        <v>88</v>
      </c>
      <c r="B43" s="1" t="str">
        <f aca="false">IF(  OR(ISNUMBER(SEARCH("SMOTEENN",A43)),ISNUMBER(SEARCH("SMOTETomek",A43))),  "Hybrid",  IF(   AND(    OR(ISNUMBER(SEARCH("SMOTE",A43)),ISNUMBER(SEARCH("SVMSMOTE",A43)),ISNUMBER(SEARCH("RandomOverSampler",A43)),ISNUMBER(SEARCH("BorderlineSmote",A43))),    OR(ISNUMBER(SEARCH("RandomUnderSampler",A43)),ISNUMBER(SEARCH("ClusterCentroids",A43)),ISNUMBER(SEARCH("OneSidedSelection",A43)))   ),   "Over+Under",   IF(    OR(ISNUMBER(SEARCH("SMOTE",A43)),ISNUMBER(SEARCH("SVMSMOTE",A43)),ISNUMBER(SEARCH("RandomOverSampler",A43)),ISNUMBER(SEARCH("BorderlineSmote",A43))),    "Oversampling",    IF(     OR(ISNUMBER(SEARCH("RandomUnderSampler",A43)),ISNUMBER(SEARCH("ClusterCentroids",A43)),ISNUMBER(SEARCH("OneSidedSelection",A43))),     "Undersampler",     "Czysty"    )   )  ) )</f>
        <v>Over+Under</v>
      </c>
      <c r="C43" s="1" t="s">
        <v>14</v>
      </c>
      <c r="D43" s="1" t="n">
        <v>0.8011</v>
      </c>
      <c r="E43" s="1" t="n">
        <v>0.7436</v>
      </c>
      <c r="F43" s="1" t="n">
        <v>0.781</v>
      </c>
      <c r="G43" s="1" t="n">
        <v>0.7538</v>
      </c>
      <c r="I43" s="1"/>
      <c r="J43" s="1"/>
      <c r="K43" s="1"/>
      <c r="L43" s="1"/>
      <c r="M43" s="1"/>
      <c r="N43" s="1"/>
    </row>
    <row r="44" customFormat="false" ht="13.8" hidden="false" customHeight="false" outlineLevel="0" collapsed="false">
      <c r="A44" s="1" t="s">
        <v>87</v>
      </c>
      <c r="B44" s="1" t="str">
        <f aca="false">IF(  OR(ISNUMBER(SEARCH("SMOTEENN",A44)),ISNUMBER(SEARCH("SMOTETomek",A44))),  "Hybrid",  IF(   AND(    OR(ISNUMBER(SEARCH("SMOTE",A44)),ISNUMBER(SEARCH("SVMSMOTE",A44)),ISNUMBER(SEARCH("RandomOverSampler",A44)),ISNUMBER(SEARCH("BorderlineSmote",A44))),    OR(ISNUMBER(SEARCH("RandomUnderSampler",A44)),ISNUMBER(SEARCH("ClusterCentroids",A44)),ISNUMBER(SEARCH("OneSidedSelection",A44)))   ),   "Over+Under",   IF(    OR(ISNUMBER(SEARCH("SMOTE",A44)),ISNUMBER(SEARCH("SVMSMOTE",A44)),ISNUMBER(SEARCH("RandomOverSampler",A44)),ISNUMBER(SEARCH("BorderlineSmote",A44))),    "Oversampling",    IF(     OR(ISNUMBER(SEARCH("RandomUnderSampler",A44)),ISNUMBER(SEARCH("ClusterCentroids",A44)),ISNUMBER(SEARCH("OneSidedSelection",A44))),     "Undersampler",     "Czysty"    )   )  ) )</f>
        <v>Hybrid</v>
      </c>
      <c r="C44" s="1" t="s">
        <v>14</v>
      </c>
      <c r="D44" s="1" t="n">
        <v>0.6263</v>
      </c>
      <c r="E44" s="1" t="n">
        <v>0.611</v>
      </c>
      <c r="F44" s="1" t="n">
        <v>0.6318</v>
      </c>
      <c r="G44" s="1" t="n">
        <v>0.6454</v>
      </c>
      <c r="I44" s="1"/>
      <c r="J44" s="1"/>
      <c r="K44" s="1"/>
      <c r="L44" s="1"/>
      <c r="M44" s="1"/>
      <c r="N44" s="1"/>
    </row>
    <row r="45" customFormat="false" ht="13.8" hidden="false" customHeight="false" outlineLevel="0" collapsed="false">
      <c r="A45" s="1" t="s">
        <v>83</v>
      </c>
      <c r="B45" s="1" t="str">
        <f aca="false">IF(  OR(ISNUMBER(SEARCH("SMOTEENN",A45)),ISNUMBER(SEARCH("SMOTETomek",A45))),  "Hybrid",  IF(   AND(    OR(ISNUMBER(SEARCH("SMOTE",A45)),ISNUMBER(SEARCH("SVMSMOTE",A45)),ISNUMBER(SEARCH("RandomOverSampler",A45)),ISNUMBER(SEARCH("BorderlineSmote",A45))),    OR(ISNUMBER(SEARCH("RandomUnderSampler",A45)),ISNUMBER(SEARCH("ClusterCentroids",A45)),ISNUMBER(SEARCH("OneSidedSelection",A45)))   ),   "Over+Under",   IF(    OR(ISNUMBER(SEARCH("SMOTE",A45)),ISNUMBER(SEARCH("SVMSMOTE",A45)),ISNUMBER(SEARCH("RandomOverSampler",A45)),ISNUMBER(SEARCH("BorderlineSmote",A45))),    "Oversampling",    IF(     OR(ISNUMBER(SEARCH("RandomUnderSampler",A45)),ISNUMBER(SEARCH("ClusterCentroids",A45)),ISNUMBER(SEARCH("OneSidedSelection",A45))),     "Undersampler",     "Czysty"    )   )  ) )</f>
        <v>Over+Under</v>
      </c>
      <c r="C45" s="1" t="s">
        <v>14</v>
      </c>
      <c r="D45" s="1" t="n">
        <v>0.379</v>
      </c>
      <c r="E45" s="1" t="n">
        <v>0.1374</v>
      </c>
      <c r="F45" s="1" t="n">
        <v>0.0948</v>
      </c>
      <c r="G45" s="1" t="n">
        <v>0.25</v>
      </c>
      <c r="I45" s="1"/>
      <c r="J45" s="1"/>
      <c r="K45" s="1"/>
      <c r="L45" s="1"/>
      <c r="M45" s="1"/>
      <c r="N45" s="1"/>
    </row>
    <row r="46" customFormat="false" ht="13.8" hidden="false" customHeight="false" outlineLevel="0" collapsed="false">
      <c r="A46" s="1" t="s">
        <v>85</v>
      </c>
      <c r="B46" s="1" t="str">
        <f aca="false">IF(  OR(ISNUMBER(SEARCH("SMOTEENN",A46)),ISNUMBER(SEARCH("SMOTETomek",A46))),  "Hybrid",  IF(   AND(    OR(ISNUMBER(SEARCH("SMOTE",A46)),ISNUMBER(SEARCH("SVMSMOTE",A46)),ISNUMBER(SEARCH("RandomOverSampler",A46)),ISNUMBER(SEARCH("BorderlineSmote",A46))),    OR(ISNUMBER(SEARCH("RandomUnderSampler",A46)),ISNUMBER(SEARCH("ClusterCentroids",A46)),ISNUMBER(SEARCH("OneSidedSelection",A46)))   ),   "Over+Under",   IF(    OR(ISNUMBER(SEARCH("SMOTE",A46)),ISNUMBER(SEARCH("SVMSMOTE",A46)),ISNUMBER(SEARCH("RandomOverSampler",A46)),ISNUMBER(SEARCH("BorderlineSmote",A46))),    "Oversampling",    IF(     OR(ISNUMBER(SEARCH("RandomUnderSampler",A46)),ISNUMBER(SEARCH("ClusterCentroids",A46)),ISNUMBER(SEARCH("OneSidedSelection",A46))),     "Undersampler",     "Czysty"    )   )  ) )</f>
        <v>Over+Under</v>
      </c>
      <c r="C46" s="1" t="s">
        <v>14</v>
      </c>
      <c r="D46" s="1" t="n">
        <v>0.379</v>
      </c>
      <c r="E46" s="1" t="n">
        <v>0.1374</v>
      </c>
      <c r="F46" s="1" t="n">
        <v>0.0948</v>
      </c>
      <c r="G46" s="1" t="n">
        <v>0.25</v>
      </c>
      <c r="I46" s="1"/>
      <c r="J46" s="1"/>
      <c r="K46" s="1"/>
      <c r="L46" s="1"/>
      <c r="M46" s="1"/>
      <c r="N46" s="1"/>
    </row>
    <row r="47" customFormat="false" ht="13.8" hidden="false" customHeight="false" outlineLevel="0" collapsed="false">
      <c r="A47" s="1" t="s">
        <v>82</v>
      </c>
      <c r="B47" s="1" t="str">
        <f aca="false">IF(  OR(ISNUMBER(SEARCH("SMOTEENN",A47)),ISNUMBER(SEARCH("SMOTETomek",A47))),  "Hybrid",  IF(   AND(    OR(ISNUMBER(SEARCH("SMOTE",A47)),ISNUMBER(SEARCH("SVMSMOTE",A47)),ISNUMBER(SEARCH("RandomOverSampler",A47)),ISNUMBER(SEARCH("BorderlineSmote",A47))),    OR(ISNUMBER(SEARCH("RandomUnderSampler",A47)),ISNUMBER(SEARCH("ClusterCentroids",A47)),ISNUMBER(SEARCH("OneSidedSelection",A47)))   ),   "Over+Under",   IF(    OR(ISNUMBER(SEARCH("SMOTE",A47)),ISNUMBER(SEARCH("SVMSMOTE",A47)),ISNUMBER(SEARCH("RandomOverSampler",A47)),ISNUMBER(SEARCH("BorderlineSmote",A47))),    "Oversampling",    IF(     OR(ISNUMBER(SEARCH("RandomUnderSampler",A47)),ISNUMBER(SEARCH("ClusterCentroids",A47)),ISNUMBER(SEARCH("OneSidedSelection",A47))),     "Undersampler",     "Czysty"    )   )  ) )</f>
        <v>Over+Under</v>
      </c>
      <c r="C47" s="1" t="s">
        <v>14</v>
      </c>
      <c r="D47" s="1" t="n">
        <v>0.379</v>
      </c>
      <c r="E47" s="1" t="n">
        <v>0.1374</v>
      </c>
      <c r="F47" s="1" t="n">
        <v>0.0948</v>
      </c>
      <c r="G47" s="1" t="n">
        <v>0.25</v>
      </c>
      <c r="I47" s="1"/>
      <c r="J47" s="1"/>
      <c r="K47" s="1"/>
      <c r="L47" s="1"/>
      <c r="M47" s="1"/>
      <c r="N47" s="1"/>
    </row>
    <row r="48" customFormat="false" ht="13.8" hidden="false" customHeight="false" outlineLevel="0" collapsed="false">
      <c r="A48" s="1" t="s">
        <v>86</v>
      </c>
      <c r="B48" s="1" t="str">
        <f aca="false">IF(  OR(ISNUMBER(SEARCH("SMOTEENN",A48)),ISNUMBER(SEARCH("SMOTETomek",A48))),  "Hybrid",  IF(   AND(    OR(ISNUMBER(SEARCH("SMOTE",A48)),ISNUMBER(SEARCH("SVMSMOTE",A48)),ISNUMBER(SEARCH("RandomOverSampler",A48)),ISNUMBER(SEARCH("BorderlineSmote",A48))),    OR(ISNUMBER(SEARCH("RandomUnderSampler",A48)),ISNUMBER(SEARCH("ClusterCentroids",A48)),ISNUMBER(SEARCH("OneSidedSelection",A48)))   ),   "Over+Under",   IF(    OR(ISNUMBER(SEARCH("SMOTE",A48)),ISNUMBER(SEARCH("SVMSMOTE",A48)),ISNUMBER(SEARCH("RandomOverSampler",A48)),ISNUMBER(SEARCH("BorderlineSmote",A48))),    "Oversampling",    IF(     OR(ISNUMBER(SEARCH("RandomUnderSampler",A48)),ISNUMBER(SEARCH("ClusterCentroids",A48)),ISNUMBER(SEARCH("OneSidedSelection",A48))),     "Undersampler",     "Czysty"    )   )  ) )</f>
        <v>Over+Under</v>
      </c>
      <c r="C48" s="1" t="s">
        <v>14</v>
      </c>
      <c r="D48" s="1" t="n">
        <v>0.379</v>
      </c>
      <c r="E48" s="1" t="n">
        <v>0.1374</v>
      </c>
      <c r="F48" s="1" t="n">
        <v>0.0948</v>
      </c>
      <c r="G48" s="1" t="n">
        <v>0.25</v>
      </c>
      <c r="I48" s="1"/>
      <c r="J48" s="1"/>
      <c r="K48" s="1"/>
      <c r="L48" s="1"/>
      <c r="M48" s="1"/>
      <c r="N48" s="1"/>
    </row>
    <row r="49" customFormat="false" ht="13.8" hidden="false" customHeight="false" outlineLevel="0" collapsed="false">
      <c r="A49" s="1" t="s">
        <v>124</v>
      </c>
      <c r="B49" s="1" t="str">
        <f aca="false">IF(  OR(ISNUMBER(SEARCH("SMOTEENN",A49)),ISNUMBER(SEARCH("SMOTETomek",A49))),  "Hybrid",  IF(   AND(    OR(ISNUMBER(SEARCH("SMOTE",A49)),ISNUMBER(SEARCH("SVMSMOTE",A49)),ISNUMBER(SEARCH("RandomOverSampler",A49)),ISNUMBER(SEARCH("BorderlineSmote",A49))),    OR(ISNUMBER(SEARCH("RandomUnderSampler",A49)),ISNUMBER(SEARCH("ClusterCentroids",A49)),ISNUMBER(SEARCH("OneSidedSelection",A49)))   ),   "Over+Under",   IF(    OR(ISNUMBER(SEARCH("SMOTE",A49)),ISNUMBER(SEARCH("SVMSMOTE",A49)),ISNUMBER(SEARCH("RandomOverSampler",A49)),ISNUMBER(SEARCH("BorderlineSmote",A49))),    "Oversampling",    IF(     OR(ISNUMBER(SEARCH("RandomUnderSampler",A49)),ISNUMBER(SEARCH("ClusterCentroids",A49)),ISNUMBER(SEARCH("OneSidedSelection",A49))),     "Undersampler",     "Czysty"    )   )  ) )</f>
        <v>Over+Under</v>
      </c>
      <c r="C49" s="1" t="s">
        <v>14</v>
      </c>
      <c r="D49" s="1" t="n">
        <v>0.379</v>
      </c>
      <c r="E49" s="1" t="n">
        <v>0.1374</v>
      </c>
      <c r="F49" s="1" t="n">
        <v>0.0948</v>
      </c>
      <c r="G49" s="1" t="n">
        <v>0.25</v>
      </c>
      <c r="I49" s="1"/>
      <c r="J49" s="1"/>
      <c r="K49" s="1"/>
      <c r="L49" s="1"/>
      <c r="M49" s="1"/>
      <c r="N49" s="1"/>
    </row>
    <row r="50" customFormat="false" ht="13.8" hidden="false" customHeight="false" outlineLevel="0" collapsed="false">
      <c r="A50" s="1" t="s">
        <v>125</v>
      </c>
      <c r="B50" s="1" t="str">
        <f aca="false">IF(  OR(ISNUMBER(SEARCH("SMOTEENN",A50)),ISNUMBER(SEARCH("SMOTETomek",A50))),  "Hybrid",  IF(   AND(    OR(ISNUMBER(SEARCH("SMOTE",A50)),ISNUMBER(SEARCH("SVMSMOTE",A50)),ISNUMBER(SEARCH("RandomOverSampler",A50)),ISNUMBER(SEARCH("BorderlineSmote",A50))),    OR(ISNUMBER(SEARCH("RandomUnderSampler",A50)),ISNUMBER(SEARCH("ClusterCentroids",A50)),ISNUMBER(SEARCH("OneSidedSelection",A50)))   ),   "Over+Under",   IF(    OR(ISNUMBER(SEARCH("SMOTE",A50)),ISNUMBER(SEARCH("SVMSMOTE",A50)),ISNUMBER(SEARCH("RandomOverSampler",A50)),ISNUMBER(SEARCH("BorderlineSmote",A50))),    "Oversampling",    IF(     OR(ISNUMBER(SEARCH("RandomUnderSampler",A50)),ISNUMBER(SEARCH("ClusterCentroids",A50)),ISNUMBER(SEARCH("OneSidedSelection",A50))),     "Undersampler",     "Czysty"    )   )  ) )</f>
        <v>Over+Under</v>
      </c>
      <c r="C50" s="1" t="s">
        <v>14</v>
      </c>
      <c r="D50" s="1" t="n">
        <v>0.379</v>
      </c>
      <c r="E50" s="1" t="n">
        <v>0.1374</v>
      </c>
      <c r="F50" s="1" t="n">
        <v>0.0948</v>
      </c>
      <c r="G50" s="1" t="n">
        <v>0.25</v>
      </c>
      <c r="I50" s="1"/>
      <c r="J50" s="1"/>
      <c r="K50" s="1"/>
      <c r="L50" s="1"/>
      <c r="M50" s="1"/>
      <c r="N50" s="1"/>
    </row>
    <row r="51" customFormat="false" ht="13.8" hidden="false" customHeight="false" outlineLevel="0" collapsed="false">
      <c r="A51" s="1" t="s">
        <v>81</v>
      </c>
      <c r="B51" s="1" t="str">
        <f aca="false">IF(  OR(ISNUMBER(SEARCH("SMOTEENN",A51)),ISNUMBER(SEARCH("SMOTETomek",A51))),  "Hybrid",  IF(   AND(    OR(ISNUMBER(SEARCH("SMOTE",A51)),ISNUMBER(SEARCH("SVMSMOTE",A51)),ISNUMBER(SEARCH("RandomOverSampler",A51)),ISNUMBER(SEARCH("BorderlineSmote",A51))),    OR(ISNUMBER(SEARCH("RandomUnderSampler",A51)),ISNUMBER(SEARCH("ClusterCentroids",A51)),ISNUMBER(SEARCH("OneSidedSelection",A51)))   ),   "Over+Under",   IF(    OR(ISNUMBER(SEARCH("SMOTE",A51)),ISNUMBER(SEARCH("SVMSMOTE",A51)),ISNUMBER(SEARCH("RandomOverSampler",A51)),ISNUMBER(SEARCH("BorderlineSmote",A51))),    "Oversampling",    IF(     OR(ISNUMBER(SEARCH("RandomUnderSampler",A51)),ISNUMBER(SEARCH("ClusterCentroids",A51)),ISNUMBER(SEARCH("OneSidedSelection",A51))),     "Undersampler",     "Czysty"    )   )  ) )</f>
        <v>Oversampling</v>
      </c>
      <c r="C51" s="1" t="s">
        <v>74</v>
      </c>
      <c r="D51" s="1" t="n">
        <v>0.8602</v>
      </c>
      <c r="E51" s="1" t="n">
        <v>0.8451</v>
      </c>
      <c r="F51" s="1" t="n">
        <v>0.8499</v>
      </c>
      <c r="G51" s="1" t="n">
        <v>0.8451</v>
      </c>
      <c r="I51" s="1"/>
      <c r="J51" s="1"/>
      <c r="K51" s="1"/>
      <c r="L51" s="1"/>
      <c r="M51" s="1"/>
      <c r="N51" s="1"/>
    </row>
    <row r="52" customFormat="false" ht="13.8" hidden="false" customHeight="false" outlineLevel="0" collapsed="false">
      <c r="A52" s="1" t="s">
        <v>17</v>
      </c>
      <c r="B52" s="1" t="str">
        <f aca="false">IF(  OR(ISNUMBER(SEARCH("SMOTEENN",A52)),ISNUMBER(SEARCH("SMOTETomek",A52))),  "Hybrid",  IF(   AND(    OR(ISNUMBER(SEARCH("SMOTE",A52)),ISNUMBER(SEARCH("SVMSMOTE",A52)),ISNUMBER(SEARCH("RandomOverSampler",A52)),ISNUMBER(SEARCH("BorderlineSmote",A52))),    OR(ISNUMBER(SEARCH("RandomUnderSampler",A52)),ISNUMBER(SEARCH("ClusterCentroids",A52)),ISNUMBER(SEARCH("OneSidedSelection",A52)))   ),   "Over+Under",   IF(    OR(ISNUMBER(SEARCH("SMOTE",A52)),ISNUMBER(SEARCH("SVMSMOTE",A52)),ISNUMBER(SEARCH("RandomOverSampler",A52)),ISNUMBER(SEARCH("BorderlineSmote",A52))),    "Oversampling",    IF(     OR(ISNUMBER(SEARCH("RandomUnderSampler",A52)),ISNUMBER(SEARCH("ClusterCentroids",A52)),ISNUMBER(SEARCH("OneSidedSelection",A52))),     "Undersampler",     "Czysty"    )   )  ) )</f>
        <v>Czysty</v>
      </c>
      <c r="C52" s="1" t="s">
        <v>74</v>
      </c>
      <c r="D52" s="1" t="n">
        <v>0.8629</v>
      </c>
      <c r="E52" s="1" t="n">
        <v>0.8432</v>
      </c>
      <c r="F52" s="1" t="n">
        <v>0.862</v>
      </c>
      <c r="G52" s="1" t="n">
        <v>0.8413</v>
      </c>
      <c r="I52" s="1"/>
      <c r="J52" s="1"/>
      <c r="K52" s="1"/>
      <c r="L52" s="1"/>
      <c r="M52" s="1"/>
      <c r="N52" s="1"/>
    </row>
    <row r="53" customFormat="false" ht="13.8" hidden="false" customHeight="false" outlineLevel="0" collapsed="false">
      <c r="A53" s="1" t="s">
        <v>126</v>
      </c>
      <c r="B53" s="1" t="str">
        <f aca="false">IF(  OR(ISNUMBER(SEARCH("SMOTEENN",A53)),ISNUMBER(SEARCH("SMOTETomek",A53))),  "Hybrid",  IF(   AND(    OR(ISNUMBER(SEARCH("SMOTE",A53)),ISNUMBER(SEARCH("SVMSMOTE",A53)),ISNUMBER(SEARCH("RandomOverSampler",A53)),ISNUMBER(SEARCH("BorderlineSmote",A53))),    OR(ISNUMBER(SEARCH("RandomUnderSampler",A53)),ISNUMBER(SEARCH("ClusterCentroids",A53)),ISNUMBER(SEARCH("OneSidedSelection",A53)))   ),   "Over+Under",   IF(    OR(ISNUMBER(SEARCH("SMOTE",A53)),ISNUMBER(SEARCH("SVMSMOTE",A53)),ISNUMBER(SEARCH("RandomOverSampler",A53)),ISNUMBER(SEARCH("BorderlineSmote",A53))),    "Oversampling",    IF(     OR(ISNUMBER(SEARCH("RandomUnderSampler",A53)),ISNUMBER(SEARCH("ClusterCentroids",A53)),ISNUMBER(SEARCH("OneSidedSelection",A53))),     "Undersampler",     "Czysty"    )   )  ) )</f>
        <v>Oversampling</v>
      </c>
      <c r="C53" s="1" t="s">
        <v>74</v>
      </c>
      <c r="D53" s="1" t="n">
        <v>0.8575</v>
      </c>
      <c r="E53" s="1" t="n">
        <v>0.8277</v>
      </c>
      <c r="F53" s="1" t="n">
        <v>0.8787</v>
      </c>
      <c r="G53" s="1" t="n">
        <v>0.8116</v>
      </c>
      <c r="I53" s="1"/>
      <c r="J53" s="1"/>
      <c r="K53" s="1"/>
      <c r="L53" s="1"/>
      <c r="M53" s="1"/>
      <c r="N53" s="1"/>
    </row>
    <row r="54" customFormat="false" ht="13.8" hidden="false" customHeight="false" outlineLevel="0" collapsed="false">
      <c r="A54" s="1" t="s">
        <v>79</v>
      </c>
      <c r="B54" s="1" t="str">
        <f aca="false">IF(  OR(ISNUMBER(SEARCH("SMOTEENN",A54)),ISNUMBER(SEARCH("SMOTETomek",A54))),  "Hybrid",  IF(   AND(    OR(ISNUMBER(SEARCH("SMOTE",A54)),ISNUMBER(SEARCH("SVMSMOTE",A54)),ISNUMBER(SEARCH("RandomOverSampler",A54)),ISNUMBER(SEARCH("BorderlineSmote",A54))),    OR(ISNUMBER(SEARCH("RandomUnderSampler",A54)),ISNUMBER(SEARCH("ClusterCentroids",A54)),ISNUMBER(SEARCH("OneSidedSelection",A54)))   ),   "Over+Under",   IF(    OR(ISNUMBER(SEARCH("SMOTE",A54)),ISNUMBER(SEARCH("SVMSMOTE",A54)),ISNUMBER(SEARCH("RandomOverSampler",A54)),ISNUMBER(SEARCH("BorderlineSmote",A54))),    "Oversampling",    IF(     OR(ISNUMBER(SEARCH("RandomUnderSampler",A54)),ISNUMBER(SEARCH("ClusterCentroids",A54)),ISNUMBER(SEARCH("OneSidedSelection",A54))),     "Undersampler",     "Czysty"    )   )  ) )</f>
        <v>Oversampling</v>
      </c>
      <c r="C54" s="1" t="s">
        <v>74</v>
      </c>
      <c r="D54" s="1" t="n">
        <v>0.8468</v>
      </c>
      <c r="E54" s="1" t="n">
        <v>0.8172</v>
      </c>
      <c r="F54" s="1" t="n">
        <v>0.8425</v>
      </c>
      <c r="G54" s="1" t="n">
        <v>0.8079</v>
      </c>
      <c r="I54" s="1"/>
      <c r="J54" s="1"/>
      <c r="K54" s="1"/>
      <c r="L54" s="1"/>
      <c r="M54" s="1"/>
      <c r="N54" s="1"/>
    </row>
    <row r="55" customFormat="false" ht="13.8" hidden="false" customHeight="false" outlineLevel="0" collapsed="false">
      <c r="A55" s="1" t="s">
        <v>80</v>
      </c>
      <c r="B55" s="1" t="str">
        <f aca="false">IF(  OR(ISNUMBER(SEARCH("SMOTEENN",A55)),ISNUMBER(SEARCH("SMOTETomek",A55))),  "Hybrid",  IF(   AND(    OR(ISNUMBER(SEARCH("SMOTE",A55)),ISNUMBER(SEARCH("SVMSMOTE",A55)),ISNUMBER(SEARCH("RandomOverSampler",A55)),ISNUMBER(SEARCH("BorderlineSmote",A55))),    OR(ISNUMBER(SEARCH("RandomUnderSampler",A55)),ISNUMBER(SEARCH("ClusterCentroids",A55)),ISNUMBER(SEARCH("OneSidedSelection",A55)))   ),   "Over+Under",   IF(    OR(ISNUMBER(SEARCH("SMOTE",A55)),ISNUMBER(SEARCH("SVMSMOTE",A55)),ISNUMBER(SEARCH("RandomOverSampler",A55)),ISNUMBER(SEARCH("BorderlineSmote",A55))),    "Oversampling",    IF(     OR(ISNUMBER(SEARCH("RandomUnderSampler",A55)),ISNUMBER(SEARCH("ClusterCentroids",A55)),ISNUMBER(SEARCH("OneSidedSelection",A55))),     "Undersampler",     "Czysty"    )   )  ) )</f>
        <v>Hybrid</v>
      </c>
      <c r="C55" s="1" t="s">
        <v>74</v>
      </c>
      <c r="D55" s="1" t="n">
        <v>0.828</v>
      </c>
      <c r="E55" s="1" t="n">
        <v>0.7941</v>
      </c>
      <c r="F55" s="1" t="n">
        <v>0.8115</v>
      </c>
      <c r="G55" s="1" t="n">
        <v>0.791</v>
      </c>
      <c r="I55" s="1"/>
      <c r="J55" s="1"/>
      <c r="K55" s="1"/>
      <c r="L55" s="1"/>
      <c r="M55" s="1"/>
      <c r="N55" s="1"/>
    </row>
    <row r="56" customFormat="false" ht="13.8" hidden="false" customHeight="false" outlineLevel="0" collapsed="false">
      <c r="A56" s="1" t="s">
        <v>84</v>
      </c>
      <c r="B56" s="1" t="str">
        <f aca="false">IF(  OR(ISNUMBER(SEARCH("SMOTEENN",A56)),ISNUMBER(SEARCH("SMOTETomek",A56))),  "Hybrid",  IF(   AND(    OR(ISNUMBER(SEARCH("SMOTE",A56)),ISNUMBER(SEARCH("SVMSMOTE",A56)),ISNUMBER(SEARCH("RandomOverSampler",A56)),ISNUMBER(SEARCH("BorderlineSmote",A56))),    OR(ISNUMBER(SEARCH("RandomUnderSampler",A56)),ISNUMBER(SEARCH("ClusterCentroids",A56)),ISNUMBER(SEARCH("OneSidedSelection",A56)))   ),   "Over+Under",   IF(    OR(ISNUMBER(SEARCH("SMOTE",A56)),ISNUMBER(SEARCH("SVMSMOTE",A56)),ISNUMBER(SEARCH("RandomOverSampler",A56)),ISNUMBER(SEARCH("BorderlineSmote",A56))),    "Oversampling",    IF(     OR(ISNUMBER(SEARCH("RandomUnderSampler",A56)),ISNUMBER(SEARCH("ClusterCentroids",A56)),ISNUMBER(SEARCH("OneSidedSelection",A56))),     "Undersampler",     "Czysty"    )   )  ) )</f>
        <v>Over+Under</v>
      </c>
      <c r="C56" s="1" t="s">
        <v>74</v>
      </c>
      <c r="D56" s="1" t="n">
        <v>0.7984</v>
      </c>
      <c r="E56" s="1" t="n">
        <v>0.7612</v>
      </c>
      <c r="F56" s="1" t="n">
        <v>0.7993</v>
      </c>
      <c r="G56" s="1" t="n">
        <v>0.7546</v>
      </c>
      <c r="I56" s="1"/>
      <c r="J56" s="1"/>
      <c r="K56" s="1"/>
      <c r="L56" s="1"/>
      <c r="M56" s="1"/>
      <c r="N56" s="1"/>
    </row>
    <row r="57" customFormat="false" ht="13.8" hidden="false" customHeight="false" outlineLevel="0" collapsed="false">
      <c r="A57" s="1" t="s">
        <v>123</v>
      </c>
      <c r="B57" s="1" t="str">
        <f aca="false">IF(  OR(ISNUMBER(SEARCH("SMOTEENN",A57)),ISNUMBER(SEARCH("SMOTETomek",A57))),  "Hybrid",  IF(   AND(    OR(ISNUMBER(SEARCH("SMOTE",A57)),ISNUMBER(SEARCH("SVMSMOTE",A57)),ISNUMBER(SEARCH("RandomOverSampler",A57)),ISNUMBER(SEARCH("BorderlineSmote",A57))),    OR(ISNUMBER(SEARCH("RandomUnderSampler",A57)),ISNUMBER(SEARCH("ClusterCentroids",A57)),ISNUMBER(SEARCH("OneSidedSelection",A57)))   ),   "Over+Under",   IF(    OR(ISNUMBER(SEARCH("SMOTE",A57)),ISNUMBER(SEARCH("SVMSMOTE",A57)),ISNUMBER(SEARCH("RandomOverSampler",A57)),ISNUMBER(SEARCH("BorderlineSmote",A57))),    "Oversampling",    IF(     OR(ISNUMBER(SEARCH("RandomUnderSampler",A57)),ISNUMBER(SEARCH("ClusterCentroids",A57)),ISNUMBER(SEARCH("OneSidedSelection",A57))),     "Undersampler",     "Czysty"    )   )  ) )</f>
        <v>Oversampling</v>
      </c>
      <c r="C57" s="1" t="s">
        <v>74</v>
      </c>
      <c r="D57" s="1" t="n">
        <v>0.7823</v>
      </c>
      <c r="E57" s="1" t="n">
        <v>0.7479</v>
      </c>
      <c r="F57" s="1" t="n">
        <v>0.7683</v>
      </c>
      <c r="G57" s="1" t="n">
        <v>0.7422</v>
      </c>
      <c r="I57" s="1"/>
      <c r="J57" s="1"/>
      <c r="K57" s="1"/>
      <c r="L57" s="1"/>
      <c r="M57" s="1"/>
      <c r="N57" s="1"/>
    </row>
    <row r="58" customFormat="false" ht="13.8" hidden="false" customHeight="false" outlineLevel="0" collapsed="false">
      <c r="A58" s="1" t="s">
        <v>88</v>
      </c>
      <c r="B58" s="1" t="str">
        <f aca="false">IF(  OR(ISNUMBER(SEARCH("SMOTEENN",A58)),ISNUMBER(SEARCH("SMOTETomek",A58))),  "Hybrid",  IF(   AND(    OR(ISNUMBER(SEARCH("SMOTE",A58)),ISNUMBER(SEARCH("SVMSMOTE",A58)),ISNUMBER(SEARCH("RandomOverSampler",A58)),ISNUMBER(SEARCH("BorderlineSmote",A58))),    OR(ISNUMBER(SEARCH("RandomUnderSampler",A58)),ISNUMBER(SEARCH("ClusterCentroids",A58)),ISNUMBER(SEARCH("OneSidedSelection",A58)))   ),   "Over+Under",   IF(    OR(ISNUMBER(SEARCH("SMOTE",A58)),ISNUMBER(SEARCH("SVMSMOTE",A58)),ISNUMBER(SEARCH("RandomOverSampler",A58)),ISNUMBER(SEARCH("BorderlineSmote",A58))),    "Oversampling",    IF(     OR(ISNUMBER(SEARCH("RandomUnderSampler",A58)),ISNUMBER(SEARCH("ClusterCentroids",A58)),ISNUMBER(SEARCH("OneSidedSelection",A58))),     "Undersampler",     "Czysty"    )   )  ) )</f>
        <v>Over+Under</v>
      </c>
      <c r="C58" s="1" t="s">
        <v>74</v>
      </c>
      <c r="D58" s="1" t="n">
        <v>0.7876</v>
      </c>
      <c r="E58" s="1" t="n">
        <v>0.7275</v>
      </c>
      <c r="F58" s="1" t="n">
        <v>0.7229</v>
      </c>
      <c r="G58" s="1" t="n">
        <v>0.7418</v>
      </c>
      <c r="I58" s="1"/>
      <c r="J58" s="1"/>
      <c r="K58" s="1"/>
      <c r="L58" s="1"/>
      <c r="M58" s="1"/>
      <c r="N58" s="1"/>
    </row>
    <row r="59" customFormat="false" ht="13.8" hidden="false" customHeight="false" outlineLevel="0" collapsed="false">
      <c r="A59" s="1" t="s">
        <v>87</v>
      </c>
      <c r="B59" s="1" t="str">
        <f aca="false">IF(  OR(ISNUMBER(SEARCH("SMOTEENN",A59)),ISNUMBER(SEARCH("SMOTETomek",A59))),  "Hybrid",  IF(   AND(    OR(ISNUMBER(SEARCH("SMOTE",A59)),ISNUMBER(SEARCH("SVMSMOTE",A59)),ISNUMBER(SEARCH("RandomOverSampler",A59)),ISNUMBER(SEARCH("BorderlineSmote",A59))),    OR(ISNUMBER(SEARCH("RandomUnderSampler",A59)),ISNUMBER(SEARCH("ClusterCentroids",A59)),ISNUMBER(SEARCH("OneSidedSelection",A59)))   ),   "Over+Under",   IF(    OR(ISNUMBER(SEARCH("SMOTE",A59)),ISNUMBER(SEARCH("SVMSMOTE",A59)),ISNUMBER(SEARCH("RandomOverSampler",A59)),ISNUMBER(SEARCH("BorderlineSmote",A59))),    "Oversampling",    IF(     OR(ISNUMBER(SEARCH("RandomUnderSampler",A59)),ISNUMBER(SEARCH("ClusterCentroids",A59)),ISNUMBER(SEARCH("OneSidedSelection",A59))),     "Undersampler",     "Czysty"    )   )  ) )</f>
        <v>Hybrid</v>
      </c>
      <c r="C59" s="1" t="s">
        <v>74</v>
      </c>
      <c r="D59" s="1" t="n">
        <v>0.6801</v>
      </c>
      <c r="E59" s="1" t="n">
        <v>0.6598</v>
      </c>
      <c r="F59" s="1" t="n">
        <v>0.6886</v>
      </c>
      <c r="G59" s="1" t="n">
        <v>0.6971</v>
      </c>
      <c r="I59" s="1"/>
      <c r="J59" s="1"/>
      <c r="K59" s="1"/>
      <c r="L59" s="1"/>
      <c r="M59" s="1"/>
      <c r="N59" s="1"/>
    </row>
    <row r="60" customFormat="false" ht="13.8" hidden="false" customHeight="false" outlineLevel="0" collapsed="false">
      <c r="A60" s="1" t="s">
        <v>83</v>
      </c>
      <c r="B60" s="1" t="str">
        <f aca="false">IF(  OR(ISNUMBER(SEARCH("SMOTEENN",A60)),ISNUMBER(SEARCH("SMOTETomek",A60))),  "Hybrid",  IF(   AND(    OR(ISNUMBER(SEARCH("SMOTE",A60)),ISNUMBER(SEARCH("SVMSMOTE",A60)),ISNUMBER(SEARCH("RandomOverSampler",A60)),ISNUMBER(SEARCH("BorderlineSmote",A60))),    OR(ISNUMBER(SEARCH("RandomUnderSampler",A60)),ISNUMBER(SEARCH("ClusterCentroids",A60)),ISNUMBER(SEARCH("OneSidedSelection",A60)))   ),   "Over+Under",   IF(    OR(ISNUMBER(SEARCH("SMOTE",A60)),ISNUMBER(SEARCH("SVMSMOTE",A60)),ISNUMBER(SEARCH("RandomOverSampler",A60)),ISNUMBER(SEARCH("BorderlineSmote",A60))),    "Oversampling",    IF(     OR(ISNUMBER(SEARCH("RandomUnderSampler",A60)),ISNUMBER(SEARCH("ClusterCentroids",A60)),ISNUMBER(SEARCH("OneSidedSelection",A60))),     "Undersampler",     "Czysty"    )   )  ) )</f>
        <v>Over+Under</v>
      </c>
      <c r="C60" s="1" t="s">
        <v>74</v>
      </c>
      <c r="D60" s="1" t="n">
        <v>0.379</v>
      </c>
      <c r="E60" s="1" t="n">
        <v>0.1374</v>
      </c>
      <c r="F60" s="1" t="n">
        <v>0.0948</v>
      </c>
      <c r="G60" s="1" t="n">
        <v>0.25</v>
      </c>
      <c r="I60" s="1"/>
      <c r="J60" s="1"/>
      <c r="K60" s="1"/>
      <c r="L60" s="1"/>
      <c r="M60" s="1"/>
      <c r="N60" s="1"/>
    </row>
    <row r="61" customFormat="false" ht="13.8" hidden="false" customHeight="false" outlineLevel="0" collapsed="false">
      <c r="A61" s="1" t="s">
        <v>85</v>
      </c>
      <c r="B61" s="1" t="str">
        <f aca="false">IF(  OR(ISNUMBER(SEARCH("SMOTEENN",A61)),ISNUMBER(SEARCH("SMOTETomek",A61))),  "Hybrid",  IF(   AND(    OR(ISNUMBER(SEARCH("SMOTE",A61)),ISNUMBER(SEARCH("SVMSMOTE",A61)),ISNUMBER(SEARCH("RandomOverSampler",A61)),ISNUMBER(SEARCH("BorderlineSmote",A61))),    OR(ISNUMBER(SEARCH("RandomUnderSampler",A61)),ISNUMBER(SEARCH("ClusterCentroids",A61)),ISNUMBER(SEARCH("OneSidedSelection",A61)))   ),   "Over+Under",   IF(    OR(ISNUMBER(SEARCH("SMOTE",A61)),ISNUMBER(SEARCH("SVMSMOTE",A61)),ISNUMBER(SEARCH("RandomOverSampler",A61)),ISNUMBER(SEARCH("BorderlineSmote",A61))),    "Oversampling",    IF(     OR(ISNUMBER(SEARCH("RandomUnderSampler",A61)),ISNUMBER(SEARCH("ClusterCentroids",A61)),ISNUMBER(SEARCH("OneSidedSelection",A61))),     "Undersampler",     "Czysty"    )   )  ) )</f>
        <v>Over+Under</v>
      </c>
      <c r="C61" s="1" t="s">
        <v>74</v>
      </c>
      <c r="D61" s="1" t="n">
        <v>0.379</v>
      </c>
      <c r="E61" s="1" t="n">
        <v>0.1374</v>
      </c>
      <c r="F61" s="1" t="n">
        <v>0.0948</v>
      </c>
      <c r="G61" s="1" t="n">
        <v>0.25</v>
      </c>
      <c r="I61" s="1"/>
      <c r="J61" s="1"/>
      <c r="K61" s="1"/>
      <c r="L61" s="1"/>
      <c r="M61" s="1"/>
      <c r="N61" s="1"/>
    </row>
    <row r="62" customFormat="false" ht="13.8" hidden="false" customHeight="false" outlineLevel="0" collapsed="false">
      <c r="A62" s="1" t="s">
        <v>82</v>
      </c>
      <c r="B62" s="1" t="str">
        <f aca="false">IF(  OR(ISNUMBER(SEARCH("SMOTEENN",A62)),ISNUMBER(SEARCH("SMOTETomek",A62))),  "Hybrid",  IF(   AND(    OR(ISNUMBER(SEARCH("SMOTE",A62)),ISNUMBER(SEARCH("SVMSMOTE",A62)),ISNUMBER(SEARCH("RandomOverSampler",A62)),ISNUMBER(SEARCH("BorderlineSmote",A62))),    OR(ISNUMBER(SEARCH("RandomUnderSampler",A62)),ISNUMBER(SEARCH("ClusterCentroids",A62)),ISNUMBER(SEARCH("OneSidedSelection",A62)))   ),   "Over+Under",   IF(    OR(ISNUMBER(SEARCH("SMOTE",A62)),ISNUMBER(SEARCH("SVMSMOTE",A62)),ISNUMBER(SEARCH("RandomOverSampler",A62)),ISNUMBER(SEARCH("BorderlineSmote",A62))),    "Oversampling",    IF(     OR(ISNUMBER(SEARCH("RandomUnderSampler",A62)),ISNUMBER(SEARCH("ClusterCentroids",A62)),ISNUMBER(SEARCH("OneSidedSelection",A62))),     "Undersampler",     "Czysty"    )   )  ) )</f>
        <v>Over+Under</v>
      </c>
      <c r="C62" s="1" t="s">
        <v>74</v>
      </c>
      <c r="D62" s="1" t="n">
        <v>0.379</v>
      </c>
      <c r="E62" s="1" t="n">
        <v>0.1374</v>
      </c>
      <c r="F62" s="1" t="n">
        <v>0.0948</v>
      </c>
      <c r="G62" s="1" t="n">
        <v>0.25</v>
      </c>
      <c r="I62" s="1"/>
      <c r="J62" s="1"/>
      <c r="K62" s="1"/>
      <c r="L62" s="1"/>
      <c r="M62" s="1"/>
      <c r="N62" s="1"/>
    </row>
    <row r="63" customFormat="false" ht="13.8" hidden="false" customHeight="false" outlineLevel="0" collapsed="false">
      <c r="A63" s="1" t="s">
        <v>86</v>
      </c>
      <c r="B63" s="1" t="str">
        <f aca="false">IF(  OR(ISNUMBER(SEARCH("SMOTEENN",A63)),ISNUMBER(SEARCH("SMOTETomek",A63))),  "Hybrid",  IF(   AND(    OR(ISNUMBER(SEARCH("SMOTE",A63)),ISNUMBER(SEARCH("SVMSMOTE",A63)),ISNUMBER(SEARCH("RandomOverSampler",A63)),ISNUMBER(SEARCH("BorderlineSmote",A63))),    OR(ISNUMBER(SEARCH("RandomUnderSampler",A63)),ISNUMBER(SEARCH("ClusterCentroids",A63)),ISNUMBER(SEARCH("OneSidedSelection",A63)))   ),   "Over+Under",   IF(    OR(ISNUMBER(SEARCH("SMOTE",A63)),ISNUMBER(SEARCH("SVMSMOTE",A63)),ISNUMBER(SEARCH("RandomOverSampler",A63)),ISNUMBER(SEARCH("BorderlineSmote",A63))),    "Oversampling",    IF(     OR(ISNUMBER(SEARCH("RandomUnderSampler",A63)),ISNUMBER(SEARCH("ClusterCentroids",A63)),ISNUMBER(SEARCH("OneSidedSelection",A63))),     "Undersampler",     "Czysty"    )   )  ) )</f>
        <v>Over+Under</v>
      </c>
      <c r="C63" s="1" t="s">
        <v>74</v>
      </c>
      <c r="D63" s="1" t="n">
        <v>0.379</v>
      </c>
      <c r="E63" s="1" t="n">
        <v>0.1374</v>
      </c>
      <c r="F63" s="1" t="n">
        <v>0.0948</v>
      </c>
      <c r="G63" s="1" t="n">
        <v>0.25</v>
      </c>
      <c r="I63" s="1"/>
      <c r="J63" s="1"/>
      <c r="K63" s="1"/>
      <c r="L63" s="1"/>
      <c r="M63" s="1"/>
      <c r="N63" s="1"/>
    </row>
    <row r="64" customFormat="false" ht="13.8" hidden="false" customHeight="false" outlineLevel="0" collapsed="false">
      <c r="A64" s="1" t="s">
        <v>124</v>
      </c>
      <c r="B64" s="1" t="str">
        <f aca="false">IF(  OR(ISNUMBER(SEARCH("SMOTEENN",A64)),ISNUMBER(SEARCH("SMOTETomek",A64))),  "Hybrid",  IF(   AND(    OR(ISNUMBER(SEARCH("SMOTE",A64)),ISNUMBER(SEARCH("SVMSMOTE",A64)),ISNUMBER(SEARCH("RandomOverSampler",A64)),ISNUMBER(SEARCH("BorderlineSmote",A64))),    OR(ISNUMBER(SEARCH("RandomUnderSampler",A64)),ISNUMBER(SEARCH("ClusterCentroids",A64)),ISNUMBER(SEARCH("OneSidedSelection",A64)))   ),   "Over+Under",   IF(    OR(ISNUMBER(SEARCH("SMOTE",A64)),ISNUMBER(SEARCH("SVMSMOTE",A64)),ISNUMBER(SEARCH("RandomOverSampler",A64)),ISNUMBER(SEARCH("BorderlineSmote",A64))),    "Oversampling",    IF(     OR(ISNUMBER(SEARCH("RandomUnderSampler",A64)),ISNUMBER(SEARCH("ClusterCentroids",A64)),ISNUMBER(SEARCH("OneSidedSelection",A64))),     "Undersampler",     "Czysty"    )   )  ) )</f>
        <v>Over+Under</v>
      </c>
      <c r="C64" s="1" t="s">
        <v>74</v>
      </c>
      <c r="D64" s="1" t="n">
        <v>0.379</v>
      </c>
      <c r="E64" s="1" t="n">
        <v>0.1374</v>
      </c>
      <c r="F64" s="1" t="n">
        <v>0.0948</v>
      </c>
      <c r="G64" s="1" t="n">
        <v>0.25</v>
      </c>
      <c r="I64" s="1"/>
      <c r="J64" s="1"/>
      <c r="K64" s="1"/>
      <c r="L64" s="1"/>
      <c r="M64" s="1"/>
      <c r="N64" s="1"/>
    </row>
    <row r="65" customFormat="false" ht="13.8" hidden="false" customHeight="false" outlineLevel="0" collapsed="false">
      <c r="A65" s="1" t="s">
        <v>125</v>
      </c>
      <c r="B65" s="1" t="str">
        <f aca="false">IF(  OR(ISNUMBER(SEARCH("SMOTEENN",A65)),ISNUMBER(SEARCH("SMOTETomek",A65))),  "Hybrid",  IF(   AND(    OR(ISNUMBER(SEARCH("SMOTE",A65)),ISNUMBER(SEARCH("SVMSMOTE",A65)),ISNUMBER(SEARCH("RandomOverSampler",A65)),ISNUMBER(SEARCH("BorderlineSmote",A65))),    OR(ISNUMBER(SEARCH("RandomUnderSampler",A65)),ISNUMBER(SEARCH("ClusterCentroids",A65)),ISNUMBER(SEARCH("OneSidedSelection",A65)))   ),   "Over+Under",   IF(    OR(ISNUMBER(SEARCH("SMOTE",A65)),ISNUMBER(SEARCH("SVMSMOTE",A65)),ISNUMBER(SEARCH("RandomOverSampler",A65)),ISNUMBER(SEARCH("BorderlineSmote",A65))),    "Oversampling",    IF(     OR(ISNUMBER(SEARCH("RandomUnderSampler",A65)),ISNUMBER(SEARCH("ClusterCentroids",A65)),ISNUMBER(SEARCH("OneSidedSelection",A65))),     "Undersampler",     "Czysty"    )   )  ) )</f>
        <v>Over+Under</v>
      </c>
      <c r="C65" s="1" t="s">
        <v>74</v>
      </c>
      <c r="D65" s="1" t="n">
        <v>0.379</v>
      </c>
      <c r="E65" s="1" t="n">
        <v>0.1374</v>
      </c>
      <c r="F65" s="1" t="n">
        <v>0.0948</v>
      </c>
      <c r="G65" s="1" t="n">
        <v>0.25</v>
      </c>
      <c r="I65" s="1"/>
      <c r="J65" s="1"/>
      <c r="K65" s="1"/>
      <c r="L65" s="1"/>
      <c r="M65" s="1"/>
      <c r="N65" s="1"/>
    </row>
    <row r="67" customFormat="false" ht="13.8" hidden="false" customHeight="false" outlineLevel="0" collapsed="false">
      <c r="A67" s="2" t="s">
        <v>23</v>
      </c>
      <c r="B67" s="2"/>
      <c r="C67" s="2"/>
      <c r="D67" s="2"/>
      <c r="E67" s="2"/>
      <c r="F67" s="2"/>
      <c r="G67" s="2"/>
    </row>
    <row r="68" customFormat="false" ht="13.8" hidden="false" customHeight="false" outlineLevel="0" collapsed="false">
      <c r="A68" s="4" t="s">
        <v>2</v>
      </c>
      <c r="B68" s="4" t="s">
        <v>4</v>
      </c>
      <c r="C68" s="4" t="s">
        <v>5</v>
      </c>
      <c r="D68" s="4" t="s">
        <v>6</v>
      </c>
      <c r="E68" s="4" t="s">
        <v>127</v>
      </c>
      <c r="F68" s="4" t="s">
        <v>9</v>
      </c>
      <c r="G68" s="4" t="s">
        <v>10</v>
      </c>
    </row>
    <row r="69" customFormat="false" ht="13.8" hidden="false" customHeight="false" outlineLevel="0" collapsed="false">
      <c r="A69" s="1" t="s">
        <v>126</v>
      </c>
      <c r="B69" s="1" t="str">
        <f aca="false">IF(  OR(ISNUMBER(SEARCH("SMOTEENN",A69)),ISNUMBER(SEARCH("SMOTETomek",A69))),  "Hybrid",  IF(   AND(    OR(ISNUMBER(SEARCH("SMOTE",A69)),ISNUMBER(SEARCH("SVMSMOTE",A69)),ISNUMBER(SEARCH("RandomOverSampler",A69)),ISNUMBER(SEARCH("BorderlineSmote",A69))),    OR(ISNUMBER(SEARCH("RandomUnderSampler",A69)),ISNUMBER(SEARCH("ClusterCentroids",A69)),ISNUMBER(SEARCH("OneSidedSelection",A69)))   ),   "Over+Under",   IF(    OR(ISNUMBER(SEARCH("SMOTE",A69)),ISNUMBER(SEARCH("SVMSMOTE",A69)),ISNUMBER(SEARCH("RandomOverSampler",A69)),ISNUMBER(SEARCH("BorderlineSmote",A69))),    "Oversampling",    IF(     OR(ISNUMBER(SEARCH("RandomUnderSampler",A69)),ISNUMBER(SEARCH("ClusterCentroids",A69)),ISNUMBER(SEARCH("OneSidedSelection",A69))),     "Undersampler",     "Czysty"    )   )  ) )</f>
        <v>Oversampling</v>
      </c>
      <c r="C69" s="1" t="s">
        <v>14</v>
      </c>
      <c r="D69" s="1" t="n">
        <v>0.7957</v>
      </c>
      <c r="E69" s="1" t="n">
        <v>0.7719</v>
      </c>
      <c r="F69" s="1" t="n">
        <v>0.7755</v>
      </c>
      <c r="G69" s="1" t="n">
        <v>0.7809</v>
      </c>
      <c r="I69" s="1"/>
      <c r="J69" s="1"/>
      <c r="K69" s="1"/>
      <c r="L69" s="1"/>
      <c r="M69" s="1"/>
      <c r="N69" s="1"/>
    </row>
    <row r="70" customFormat="false" ht="13.8" hidden="false" customHeight="false" outlineLevel="0" collapsed="false">
      <c r="A70" s="1" t="s">
        <v>123</v>
      </c>
      <c r="B70" s="1" t="str">
        <f aca="false">IF(  OR(ISNUMBER(SEARCH("SMOTEENN",A70)),ISNUMBER(SEARCH("SMOTETomek",A70))),  "Hybrid",  IF(   AND(    OR(ISNUMBER(SEARCH("SMOTE",A70)),ISNUMBER(SEARCH("SVMSMOTE",A70)),ISNUMBER(SEARCH("RandomOverSampler",A70)),ISNUMBER(SEARCH("BorderlineSmote",A70))),    OR(ISNUMBER(SEARCH("RandomUnderSampler",A70)),ISNUMBER(SEARCH("ClusterCentroids",A70)),ISNUMBER(SEARCH("OneSidedSelection",A70)))   ),   "Over+Under",   IF(    OR(ISNUMBER(SEARCH("SMOTE",A70)),ISNUMBER(SEARCH("SVMSMOTE",A70)),ISNUMBER(SEARCH("RandomOverSampler",A70)),ISNUMBER(SEARCH("BorderlineSmote",A70))),    "Oversampling",    IF(     OR(ISNUMBER(SEARCH("RandomUnderSampler",A70)),ISNUMBER(SEARCH("ClusterCentroids",A70)),ISNUMBER(SEARCH("OneSidedSelection",A70))),     "Undersampler",     "Czysty"    )   )  ) )</f>
        <v>Oversampling</v>
      </c>
      <c r="C70" s="1" t="s">
        <v>14</v>
      </c>
      <c r="D70" s="1" t="n">
        <v>0.7392</v>
      </c>
      <c r="E70" s="1" t="n">
        <v>0.7387</v>
      </c>
      <c r="F70" s="1" t="n">
        <v>0.7402</v>
      </c>
      <c r="G70" s="1" t="n">
        <v>0.7538</v>
      </c>
      <c r="I70" s="1"/>
      <c r="J70" s="1"/>
      <c r="K70" s="1"/>
      <c r="L70" s="1"/>
      <c r="M70" s="1"/>
      <c r="N70" s="1"/>
    </row>
    <row r="71" customFormat="false" ht="13.8" hidden="false" customHeight="false" outlineLevel="0" collapsed="false">
      <c r="A71" s="1" t="s">
        <v>80</v>
      </c>
      <c r="B71" s="1" t="str">
        <f aca="false">IF(  OR(ISNUMBER(SEARCH("SMOTEENN",A71)),ISNUMBER(SEARCH("SMOTETomek",A71))),  "Hybrid",  IF(   AND(    OR(ISNUMBER(SEARCH("SMOTE",A71)),ISNUMBER(SEARCH("SVMSMOTE",A71)),ISNUMBER(SEARCH("RandomOverSampler",A71)),ISNUMBER(SEARCH("BorderlineSmote",A71))),    OR(ISNUMBER(SEARCH("RandomUnderSampler",A71)),ISNUMBER(SEARCH("ClusterCentroids",A71)),ISNUMBER(SEARCH("OneSidedSelection",A71)))   ),   "Over+Under",   IF(    OR(ISNUMBER(SEARCH("SMOTE",A71)),ISNUMBER(SEARCH("SVMSMOTE",A71)),ISNUMBER(SEARCH("RandomOverSampler",A71)),ISNUMBER(SEARCH("BorderlineSmote",A71))),    "Oversampling",    IF(     OR(ISNUMBER(SEARCH("RandomUnderSampler",A71)),ISNUMBER(SEARCH("ClusterCentroids",A71)),ISNUMBER(SEARCH("OneSidedSelection",A71))),     "Undersampler",     "Czysty"    )   )  ) )</f>
        <v>Hybrid</v>
      </c>
      <c r="C71" s="1" t="s">
        <v>14</v>
      </c>
      <c r="D71" s="1" t="n">
        <v>0.7419</v>
      </c>
      <c r="E71" s="1" t="n">
        <v>0.711</v>
      </c>
      <c r="F71" s="1" t="n">
        <v>0.7237</v>
      </c>
      <c r="G71" s="1" t="n">
        <v>0.715</v>
      </c>
      <c r="I71" s="1"/>
      <c r="J71" s="1"/>
      <c r="K71" s="1"/>
      <c r="L71" s="1"/>
      <c r="M71" s="1"/>
      <c r="N71" s="1"/>
    </row>
    <row r="72" customFormat="false" ht="13.8" hidden="false" customHeight="false" outlineLevel="0" collapsed="false">
      <c r="A72" s="1" t="s">
        <v>79</v>
      </c>
      <c r="B72" s="1" t="str">
        <f aca="false">IF(  OR(ISNUMBER(SEARCH("SMOTEENN",A72)),ISNUMBER(SEARCH("SMOTETomek",A72))),  "Hybrid",  IF(   AND(    OR(ISNUMBER(SEARCH("SMOTE",A72)),ISNUMBER(SEARCH("SVMSMOTE",A72)),ISNUMBER(SEARCH("RandomOverSampler",A72)),ISNUMBER(SEARCH("BorderlineSmote",A72))),    OR(ISNUMBER(SEARCH("RandomUnderSampler",A72)),ISNUMBER(SEARCH("ClusterCentroids",A72)),ISNUMBER(SEARCH("OneSidedSelection",A72)))   ),   "Over+Under",   IF(    OR(ISNUMBER(SEARCH("SMOTE",A72)),ISNUMBER(SEARCH("SVMSMOTE",A72)),ISNUMBER(SEARCH("RandomOverSampler",A72)),ISNUMBER(SEARCH("BorderlineSmote",A72))),    "Oversampling",    IF(     OR(ISNUMBER(SEARCH("RandomUnderSampler",A72)),ISNUMBER(SEARCH("ClusterCentroids",A72)),ISNUMBER(SEARCH("OneSidedSelection",A72))),     "Undersampler",     "Czysty"    )   )  ) )</f>
        <v>Oversampling</v>
      </c>
      <c r="C72" s="1" t="s">
        <v>14</v>
      </c>
      <c r="D72" s="1" t="n">
        <v>0.7204</v>
      </c>
      <c r="E72" s="1" t="n">
        <v>0.7006</v>
      </c>
      <c r="F72" s="1" t="n">
        <v>0.7128</v>
      </c>
      <c r="G72" s="1" t="n">
        <v>0.699</v>
      </c>
      <c r="I72" s="1"/>
      <c r="J72" s="1"/>
      <c r="K72" s="1"/>
      <c r="L72" s="1"/>
      <c r="M72" s="1"/>
      <c r="N72" s="1"/>
    </row>
    <row r="73" customFormat="false" ht="13.8" hidden="false" customHeight="false" outlineLevel="0" collapsed="false">
      <c r="A73" s="1" t="s">
        <v>81</v>
      </c>
      <c r="B73" s="1" t="str">
        <f aca="false">IF(  OR(ISNUMBER(SEARCH("SMOTEENN",A73)),ISNUMBER(SEARCH("SMOTETomek",A73))),  "Hybrid",  IF(   AND(    OR(ISNUMBER(SEARCH("SMOTE",A73)),ISNUMBER(SEARCH("SVMSMOTE",A73)),ISNUMBER(SEARCH("RandomOverSampler",A73)),ISNUMBER(SEARCH("BorderlineSmote",A73))),    OR(ISNUMBER(SEARCH("RandomUnderSampler",A73)),ISNUMBER(SEARCH("ClusterCentroids",A73)),ISNUMBER(SEARCH("OneSidedSelection",A73)))   ),   "Over+Under",   IF(    OR(ISNUMBER(SEARCH("SMOTE",A73)),ISNUMBER(SEARCH("SVMSMOTE",A73)),ISNUMBER(SEARCH("RandomOverSampler",A73)),ISNUMBER(SEARCH("BorderlineSmote",A73))),    "Oversampling",    IF(     OR(ISNUMBER(SEARCH("RandomUnderSampler",A73)),ISNUMBER(SEARCH("ClusterCentroids",A73)),ISNUMBER(SEARCH("OneSidedSelection",A73))),     "Undersampler",     "Czysty"    )   )  ) )</f>
        <v>Oversampling</v>
      </c>
      <c r="C73" s="1" t="s">
        <v>14</v>
      </c>
      <c r="D73" s="1" t="n">
        <v>0.7258</v>
      </c>
      <c r="E73" s="1" t="n">
        <v>0.6941</v>
      </c>
      <c r="F73" s="1" t="n">
        <v>0.7015</v>
      </c>
      <c r="G73" s="1" t="n">
        <v>0.7047</v>
      </c>
      <c r="I73" s="1"/>
      <c r="J73" s="1"/>
      <c r="K73" s="1"/>
      <c r="L73" s="1"/>
      <c r="M73" s="1"/>
      <c r="N73" s="1"/>
    </row>
    <row r="74" customFormat="false" ht="13.8" hidden="false" customHeight="false" outlineLevel="0" collapsed="false">
      <c r="A74" s="1" t="s">
        <v>23</v>
      </c>
      <c r="B74" s="1" t="str">
        <f aca="false">IF(  OR(ISNUMBER(SEARCH("SMOTEENN",A74)),ISNUMBER(SEARCH("SMOTETomek",A74))),  "Hybrid",  IF(   AND(    OR(ISNUMBER(SEARCH("SMOTE",A74)),ISNUMBER(SEARCH("SVMSMOTE",A74)),ISNUMBER(SEARCH("RandomOverSampler",A74)),ISNUMBER(SEARCH("BorderlineSmote",A74))),    OR(ISNUMBER(SEARCH("RandomUnderSampler",A74)),ISNUMBER(SEARCH("ClusterCentroids",A74)),ISNUMBER(SEARCH("OneSidedSelection",A74)))   ),   "Over+Under",   IF(    OR(ISNUMBER(SEARCH("SMOTE",A74)),ISNUMBER(SEARCH("SVMSMOTE",A74)),ISNUMBER(SEARCH("RandomOverSampler",A74)),ISNUMBER(SEARCH("BorderlineSmote",A74))),    "Oversampling",    IF(     OR(ISNUMBER(SEARCH("RandomUnderSampler",A74)),ISNUMBER(SEARCH("ClusterCentroids",A74)),ISNUMBER(SEARCH("OneSidedSelection",A74))),     "Undersampler",     "Czysty"    )   )  ) )</f>
        <v>Czysty</v>
      </c>
      <c r="C74" s="1" t="s">
        <v>14</v>
      </c>
      <c r="D74" s="1" t="n">
        <v>0.7016</v>
      </c>
      <c r="E74" s="1" t="n">
        <v>0.6598</v>
      </c>
      <c r="F74" s="1" t="n">
        <v>0.696</v>
      </c>
      <c r="G74" s="1" t="n">
        <v>0.658</v>
      </c>
      <c r="I74" s="1"/>
      <c r="J74" s="1"/>
      <c r="K74" s="1"/>
      <c r="L74" s="1"/>
      <c r="M74" s="1"/>
      <c r="N74" s="1"/>
    </row>
    <row r="75" customFormat="false" ht="13.8" hidden="false" customHeight="false" outlineLevel="0" collapsed="false">
      <c r="A75" s="1" t="s">
        <v>88</v>
      </c>
      <c r="B75" s="1" t="str">
        <f aca="false">IF(  OR(ISNUMBER(SEARCH("SMOTEENN",A75)),ISNUMBER(SEARCH("SMOTETomek",A75))),  "Hybrid",  IF(   AND(    OR(ISNUMBER(SEARCH("SMOTE",A75)),ISNUMBER(SEARCH("SVMSMOTE",A75)),ISNUMBER(SEARCH("RandomOverSampler",A75)),ISNUMBER(SEARCH("BorderlineSmote",A75))),    OR(ISNUMBER(SEARCH("RandomUnderSampler",A75)),ISNUMBER(SEARCH("ClusterCentroids",A75)),ISNUMBER(SEARCH("OneSidedSelection",A75)))   ),   "Over+Under",   IF(    OR(ISNUMBER(SEARCH("SMOTE",A75)),ISNUMBER(SEARCH("SVMSMOTE",A75)),ISNUMBER(SEARCH("RandomOverSampler",A75)),ISNUMBER(SEARCH("BorderlineSmote",A75))),    "Oversampling",    IF(     OR(ISNUMBER(SEARCH("RandomUnderSampler",A75)),ISNUMBER(SEARCH("ClusterCentroids",A75)),ISNUMBER(SEARCH("OneSidedSelection",A75))),     "Undersampler",     "Czysty"    )   )  ) )</f>
        <v>Over+Under</v>
      </c>
      <c r="C75" s="1" t="s">
        <v>14</v>
      </c>
      <c r="D75" s="1" t="n">
        <v>0.6882</v>
      </c>
      <c r="E75" s="1" t="n">
        <v>0.6579</v>
      </c>
      <c r="F75" s="1" t="n">
        <v>0.672</v>
      </c>
      <c r="G75" s="1" t="n">
        <v>0.6681</v>
      </c>
      <c r="I75" s="1"/>
      <c r="J75" s="1"/>
      <c r="K75" s="1"/>
      <c r="L75" s="1"/>
      <c r="M75" s="1"/>
      <c r="N75" s="1"/>
    </row>
    <row r="76" customFormat="false" ht="13.8" hidden="false" customHeight="false" outlineLevel="0" collapsed="false">
      <c r="A76" s="1" t="s">
        <v>83</v>
      </c>
      <c r="B76" s="1" t="str">
        <f aca="false">IF(  OR(ISNUMBER(SEARCH("SMOTEENN",A76)),ISNUMBER(SEARCH("SMOTETomek",A76))),  "Hybrid",  IF(   AND(    OR(ISNUMBER(SEARCH("SMOTE",A76)),ISNUMBER(SEARCH("SVMSMOTE",A76)),ISNUMBER(SEARCH("RandomOverSampler",A76)),ISNUMBER(SEARCH("BorderlineSmote",A76))),    OR(ISNUMBER(SEARCH("RandomUnderSampler",A76)),ISNUMBER(SEARCH("ClusterCentroids",A76)),ISNUMBER(SEARCH("OneSidedSelection",A76)))   ),   "Over+Under",   IF(    OR(ISNUMBER(SEARCH("SMOTE",A76)),ISNUMBER(SEARCH("SVMSMOTE",A76)),ISNUMBER(SEARCH("RandomOverSampler",A76)),ISNUMBER(SEARCH("BorderlineSmote",A76))),    "Oversampling",    IF(     OR(ISNUMBER(SEARCH("RandomUnderSampler",A76)),ISNUMBER(SEARCH("ClusterCentroids",A76)),ISNUMBER(SEARCH("OneSidedSelection",A76))),     "Undersampler",     "Czysty"    )   )  ) )</f>
        <v>Over+Under</v>
      </c>
      <c r="C76" s="1" t="s">
        <v>14</v>
      </c>
      <c r="D76" s="1" t="n">
        <v>0.6452</v>
      </c>
      <c r="E76" s="1" t="n">
        <v>0.6358</v>
      </c>
      <c r="F76" s="1" t="n">
        <v>0.6582</v>
      </c>
      <c r="G76" s="1" t="n">
        <v>0.6693</v>
      </c>
      <c r="I76" s="1"/>
      <c r="J76" s="1"/>
      <c r="K76" s="1"/>
      <c r="L76" s="1"/>
      <c r="M76" s="1"/>
      <c r="N76" s="1"/>
    </row>
    <row r="77" customFormat="false" ht="13.8" hidden="false" customHeight="false" outlineLevel="0" collapsed="false">
      <c r="A77" s="1" t="s">
        <v>84</v>
      </c>
      <c r="B77" s="1" t="str">
        <f aca="false">IF(  OR(ISNUMBER(SEARCH("SMOTEENN",A77)),ISNUMBER(SEARCH("SMOTETomek",A77))),  "Hybrid",  IF(   AND(    OR(ISNUMBER(SEARCH("SMOTE",A77)),ISNUMBER(SEARCH("SVMSMOTE",A77)),ISNUMBER(SEARCH("RandomOverSampler",A77)),ISNUMBER(SEARCH("BorderlineSmote",A77))),    OR(ISNUMBER(SEARCH("RandomUnderSampler",A77)),ISNUMBER(SEARCH("ClusterCentroids",A77)),ISNUMBER(SEARCH("OneSidedSelection",A77)))   ),   "Over+Under",   IF(    OR(ISNUMBER(SEARCH("SMOTE",A77)),ISNUMBER(SEARCH("SVMSMOTE",A77)),ISNUMBER(SEARCH("RandomOverSampler",A77)),ISNUMBER(SEARCH("BorderlineSmote",A77))),    "Oversampling",    IF(     OR(ISNUMBER(SEARCH("RandomUnderSampler",A77)),ISNUMBER(SEARCH("ClusterCentroids",A77)),ISNUMBER(SEARCH("OneSidedSelection",A77))),     "Undersampler",     "Czysty"    )   )  ) )</f>
        <v>Over+Under</v>
      </c>
      <c r="C77" s="1" t="s">
        <v>14</v>
      </c>
      <c r="D77" s="1" t="n">
        <v>0.672</v>
      </c>
      <c r="E77" s="1" t="n">
        <v>0.6264</v>
      </c>
      <c r="F77" s="1" t="n">
        <v>0.6447</v>
      </c>
      <c r="G77" s="1" t="n">
        <v>0.6412</v>
      </c>
      <c r="I77" s="1"/>
      <c r="J77" s="1"/>
      <c r="K77" s="1"/>
      <c r="L77" s="1"/>
      <c r="M77" s="1"/>
      <c r="N77" s="1"/>
    </row>
    <row r="78" customFormat="false" ht="13.8" hidden="false" customHeight="false" outlineLevel="0" collapsed="false">
      <c r="A78" s="1" t="s">
        <v>82</v>
      </c>
      <c r="B78" s="1" t="str">
        <f aca="false">IF(  OR(ISNUMBER(SEARCH("SMOTEENN",A78)),ISNUMBER(SEARCH("SMOTETomek",A78))),  "Hybrid",  IF(   AND(    OR(ISNUMBER(SEARCH("SMOTE",A78)),ISNUMBER(SEARCH("SVMSMOTE",A78)),ISNUMBER(SEARCH("RandomOverSampler",A78)),ISNUMBER(SEARCH("BorderlineSmote",A78))),    OR(ISNUMBER(SEARCH("RandomUnderSampler",A78)),ISNUMBER(SEARCH("ClusterCentroids",A78)),ISNUMBER(SEARCH("OneSidedSelection",A78)))   ),   "Over+Under",   IF(    OR(ISNUMBER(SEARCH("SMOTE",A78)),ISNUMBER(SEARCH("SVMSMOTE",A78)),ISNUMBER(SEARCH("RandomOverSampler",A78)),ISNUMBER(SEARCH("BorderlineSmote",A78))),    "Oversampling",    IF(     OR(ISNUMBER(SEARCH("RandomUnderSampler",A78)),ISNUMBER(SEARCH("ClusterCentroids",A78)),ISNUMBER(SEARCH("OneSidedSelection",A78))),     "Undersampler",     "Czysty"    )   )  ) )</f>
        <v>Over+Under</v>
      </c>
      <c r="C78" s="1" t="s">
        <v>14</v>
      </c>
      <c r="D78" s="1" t="n">
        <v>0.6398</v>
      </c>
      <c r="E78" s="1" t="n">
        <v>0.6211</v>
      </c>
      <c r="F78" s="1" t="n">
        <v>0.6231</v>
      </c>
      <c r="G78" s="1" t="n">
        <v>0.6497</v>
      </c>
      <c r="I78" s="1"/>
      <c r="J78" s="1"/>
      <c r="K78" s="1"/>
      <c r="L78" s="1"/>
      <c r="M78" s="1"/>
      <c r="N78" s="1"/>
    </row>
    <row r="79" customFormat="false" ht="13.8" hidden="false" customHeight="false" outlineLevel="0" collapsed="false">
      <c r="A79" s="1" t="s">
        <v>85</v>
      </c>
      <c r="B79" s="1" t="str">
        <f aca="false">IF(  OR(ISNUMBER(SEARCH("SMOTEENN",A79)),ISNUMBER(SEARCH("SMOTETomek",A79))),  "Hybrid",  IF(   AND(    OR(ISNUMBER(SEARCH("SMOTE",A79)),ISNUMBER(SEARCH("SVMSMOTE",A79)),ISNUMBER(SEARCH("RandomOverSampler",A79)),ISNUMBER(SEARCH("BorderlineSmote",A79))),    OR(ISNUMBER(SEARCH("RandomUnderSampler",A79)),ISNUMBER(SEARCH("ClusterCentroids",A79)),ISNUMBER(SEARCH("OneSidedSelection",A79)))   ),   "Over+Under",   IF(    OR(ISNUMBER(SEARCH("SMOTE",A79)),ISNUMBER(SEARCH("SVMSMOTE",A79)),ISNUMBER(SEARCH("RandomOverSampler",A79)),ISNUMBER(SEARCH("BorderlineSmote",A79))),    "Oversampling",    IF(     OR(ISNUMBER(SEARCH("RandomUnderSampler",A79)),ISNUMBER(SEARCH("ClusterCentroids",A79)),ISNUMBER(SEARCH("OneSidedSelection",A79))),     "Undersampler",     "Czysty"    )   )  ) )</f>
        <v>Over+Under</v>
      </c>
      <c r="C79" s="1" t="s">
        <v>14</v>
      </c>
      <c r="D79" s="1" t="n">
        <v>0.6237</v>
      </c>
      <c r="E79" s="1" t="n">
        <v>0.6147</v>
      </c>
      <c r="F79" s="1" t="n">
        <v>0.6327</v>
      </c>
      <c r="G79" s="1" t="n">
        <v>0.647</v>
      </c>
      <c r="I79" s="1"/>
      <c r="J79" s="1"/>
      <c r="K79" s="1"/>
      <c r="L79" s="1"/>
      <c r="M79" s="1"/>
      <c r="N79" s="1"/>
    </row>
    <row r="80" customFormat="false" ht="13.8" hidden="false" customHeight="false" outlineLevel="0" collapsed="false">
      <c r="A80" s="1" t="s">
        <v>124</v>
      </c>
      <c r="B80" s="1" t="str">
        <f aca="false">IF(  OR(ISNUMBER(SEARCH("SMOTEENN",A80)),ISNUMBER(SEARCH("SMOTETomek",A80))),  "Hybrid",  IF(   AND(    OR(ISNUMBER(SEARCH("SMOTE",A80)),ISNUMBER(SEARCH("SVMSMOTE",A80)),ISNUMBER(SEARCH("RandomOverSampler",A80)),ISNUMBER(SEARCH("BorderlineSmote",A80))),    OR(ISNUMBER(SEARCH("RandomUnderSampler",A80)),ISNUMBER(SEARCH("ClusterCentroids",A80)),ISNUMBER(SEARCH("OneSidedSelection",A80)))   ),   "Over+Under",   IF(    OR(ISNUMBER(SEARCH("SMOTE",A80)),ISNUMBER(SEARCH("SVMSMOTE",A80)),ISNUMBER(SEARCH("RandomOverSampler",A80)),ISNUMBER(SEARCH("BorderlineSmote",A80))),    "Oversampling",    IF(     OR(ISNUMBER(SEARCH("RandomUnderSampler",A80)),ISNUMBER(SEARCH("ClusterCentroids",A80)),ISNUMBER(SEARCH("OneSidedSelection",A80))),     "Undersampler",     "Czysty"    )   )  ) )</f>
        <v>Over+Under</v>
      </c>
      <c r="C80" s="1" t="s">
        <v>14</v>
      </c>
      <c r="D80" s="1" t="n">
        <v>0.6183</v>
      </c>
      <c r="E80" s="1" t="n">
        <v>0.6021</v>
      </c>
      <c r="F80" s="1" t="n">
        <v>0.6142</v>
      </c>
      <c r="G80" s="1" t="n">
        <v>0.6454</v>
      </c>
      <c r="I80" s="1"/>
      <c r="J80" s="1"/>
      <c r="K80" s="1"/>
      <c r="L80" s="1"/>
      <c r="M80" s="1"/>
      <c r="N80" s="1"/>
    </row>
    <row r="81" customFormat="false" ht="13.8" hidden="false" customHeight="false" outlineLevel="0" collapsed="false">
      <c r="A81" s="1" t="s">
        <v>86</v>
      </c>
      <c r="B81" s="1" t="str">
        <f aca="false">IF(  OR(ISNUMBER(SEARCH("SMOTEENN",A81)),ISNUMBER(SEARCH("SMOTETomek",A81))),  "Hybrid",  IF(   AND(    OR(ISNUMBER(SEARCH("SMOTE",A81)),ISNUMBER(SEARCH("SVMSMOTE",A81)),ISNUMBER(SEARCH("RandomOverSampler",A81)),ISNUMBER(SEARCH("BorderlineSmote",A81))),    OR(ISNUMBER(SEARCH("RandomUnderSampler",A81)),ISNUMBER(SEARCH("ClusterCentroids",A81)),ISNUMBER(SEARCH("OneSidedSelection",A81)))   ),   "Over+Under",   IF(    OR(ISNUMBER(SEARCH("SMOTE",A81)),ISNUMBER(SEARCH("SVMSMOTE",A81)),ISNUMBER(SEARCH("RandomOverSampler",A81)),ISNUMBER(SEARCH("BorderlineSmote",A81))),    "Oversampling",    IF(     OR(ISNUMBER(SEARCH("RandomUnderSampler",A81)),ISNUMBER(SEARCH("ClusterCentroids",A81)),ISNUMBER(SEARCH("OneSidedSelection",A81))),     "Undersampler",     "Czysty"    )   )  ) )</f>
        <v>Over+Under</v>
      </c>
      <c r="C81" s="1" t="s">
        <v>14</v>
      </c>
      <c r="D81" s="1" t="n">
        <v>0.5995</v>
      </c>
      <c r="E81" s="1" t="n">
        <v>0.5894</v>
      </c>
      <c r="F81" s="1" t="n">
        <v>0.6098</v>
      </c>
      <c r="G81" s="1" t="n">
        <v>0.6408</v>
      </c>
      <c r="I81" s="1"/>
      <c r="J81" s="1"/>
      <c r="K81" s="1"/>
      <c r="L81" s="1"/>
      <c r="M81" s="1"/>
      <c r="N81" s="1"/>
    </row>
    <row r="82" customFormat="false" ht="13.8" hidden="false" customHeight="false" outlineLevel="0" collapsed="false">
      <c r="A82" s="1" t="s">
        <v>125</v>
      </c>
      <c r="B82" s="1" t="str">
        <f aca="false">IF(  OR(ISNUMBER(SEARCH("SMOTEENN",A82)),ISNUMBER(SEARCH("SMOTETomek",A82))),  "Hybrid",  IF(   AND(    OR(ISNUMBER(SEARCH("SMOTE",A82)),ISNUMBER(SEARCH("SVMSMOTE",A82)),ISNUMBER(SEARCH("RandomOverSampler",A82)),ISNUMBER(SEARCH("BorderlineSmote",A82))),    OR(ISNUMBER(SEARCH("RandomUnderSampler",A82)),ISNUMBER(SEARCH("ClusterCentroids",A82)),ISNUMBER(SEARCH("OneSidedSelection",A82)))   ),   "Over+Under",   IF(    OR(ISNUMBER(SEARCH("SMOTE",A82)),ISNUMBER(SEARCH("SVMSMOTE",A82)),ISNUMBER(SEARCH("RandomOverSampler",A82)),ISNUMBER(SEARCH("BorderlineSmote",A82))),    "Oversampling",    IF(     OR(ISNUMBER(SEARCH("RandomUnderSampler",A82)),ISNUMBER(SEARCH("ClusterCentroids",A82)),ISNUMBER(SEARCH("OneSidedSelection",A82))),     "Undersampler",     "Czysty"    )   )  ) )</f>
        <v>Over+Under</v>
      </c>
      <c r="C82" s="1" t="s">
        <v>14</v>
      </c>
      <c r="D82" s="1" t="n">
        <v>0.5806</v>
      </c>
      <c r="E82" s="1" t="n">
        <v>0.5799</v>
      </c>
      <c r="F82" s="1" t="n">
        <v>0.5993</v>
      </c>
      <c r="G82" s="1" t="n">
        <v>0.6254</v>
      </c>
      <c r="I82" s="1"/>
      <c r="J82" s="1"/>
      <c r="K82" s="1"/>
      <c r="L82" s="1"/>
      <c r="M82" s="1"/>
      <c r="N82" s="1"/>
    </row>
    <row r="83" customFormat="false" ht="13.8" hidden="false" customHeight="false" outlineLevel="0" collapsed="false">
      <c r="A83" s="1" t="s">
        <v>87</v>
      </c>
      <c r="B83" s="1" t="str">
        <f aca="false">IF(  OR(ISNUMBER(SEARCH("SMOTEENN",A83)),ISNUMBER(SEARCH("SMOTETomek",A83))),  "Hybrid",  IF(   AND(    OR(ISNUMBER(SEARCH("SMOTE",A83)),ISNUMBER(SEARCH("SVMSMOTE",A83)),ISNUMBER(SEARCH("RandomOverSampler",A83)),ISNUMBER(SEARCH("BorderlineSmote",A83))),    OR(ISNUMBER(SEARCH("RandomUnderSampler",A83)),ISNUMBER(SEARCH("ClusterCentroids",A83)),ISNUMBER(SEARCH("OneSidedSelection",A83)))   ),   "Over+Under",   IF(    OR(ISNUMBER(SEARCH("SMOTE",A83)),ISNUMBER(SEARCH("SVMSMOTE",A83)),ISNUMBER(SEARCH("RandomOverSampler",A83)),ISNUMBER(SEARCH("BorderlineSmote",A83))),    "Oversampling",    IF(     OR(ISNUMBER(SEARCH("RandomUnderSampler",A83)),ISNUMBER(SEARCH("ClusterCentroids",A83)),ISNUMBER(SEARCH("OneSidedSelection",A83))),     "Undersampler",     "Czysty"    )   )  ) )</f>
        <v>Hybrid</v>
      </c>
      <c r="C83" s="1" t="s">
        <v>14</v>
      </c>
      <c r="D83" s="1" t="n">
        <v>0.4731</v>
      </c>
      <c r="E83" s="1" t="n">
        <v>0.4695</v>
      </c>
      <c r="F83" s="1" t="n">
        <v>0.5052</v>
      </c>
      <c r="G83" s="1" t="n">
        <v>0.5363</v>
      </c>
      <c r="I83" s="1"/>
      <c r="J83" s="1"/>
      <c r="K83" s="1"/>
      <c r="L83" s="1"/>
      <c r="M83" s="1"/>
      <c r="N83" s="1"/>
    </row>
    <row r="84" customFormat="false" ht="13.8" hidden="false" customHeight="false" outlineLevel="0" collapsed="false">
      <c r="A84" s="1" t="s">
        <v>126</v>
      </c>
      <c r="B84" s="1" t="str">
        <f aca="false">IF(  OR(ISNUMBER(SEARCH("SMOTEENN",A84)),ISNUMBER(SEARCH("SMOTETomek",A84))),  "Hybrid",  IF(   AND(    OR(ISNUMBER(SEARCH("SMOTE",A84)),ISNUMBER(SEARCH("SVMSMOTE",A84)),ISNUMBER(SEARCH("RandomOverSampler",A84)),ISNUMBER(SEARCH("BorderlineSmote",A84))),    OR(ISNUMBER(SEARCH("RandomUnderSampler",A84)),ISNUMBER(SEARCH("ClusterCentroids",A84)),ISNUMBER(SEARCH("OneSidedSelection",A84)))   ),   "Over+Under",   IF(    OR(ISNUMBER(SEARCH("SMOTE",A84)),ISNUMBER(SEARCH("SVMSMOTE",A84)),ISNUMBER(SEARCH("RandomOverSampler",A84)),ISNUMBER(SEARCH("BorderlineSmote",A84))),    "Oversampling",    IF(     OR(ISNUMBER(SEARCH("RandomUnderSampler",A84)),ISNUMBER(SEARCH("ClusterCentroids",A84)),ISNUMBER(SEARCH("OneSidedSelection",A84))),     "Undersampler",     "Czysty"    )   )  ) )</f>
        <v>Oversampling</v>
      </c>
      <c r="C84" s="1" t="s">
        <v>74</v>
      </c>
      <c r="D84" s="1" t="n">
        <v>0.8011</v>
      </c>
      <c r="E84" s="1" t="n">
        <v>0.7708</v>
      </c>
      <c r="F84" s="1" t="n">
        <v>0.7747</v>
      </c>
      <c r="G84" s="1" t="n">
        <v>0.7858</v>
      </c>
      <c r="I84" s="1"/>
      <c r="J84" s="1"/>
      <c r="K84" s="1"/>
      <c r="L84" s="1"/>
      <c r="M84" s="1"/>
      <c r="N84" s="1"/>
    </row>
    <row r="85" customFormat="false" ht="13.8" hidden="false" customHeight="false" outlineLevel="0" collapsed="false">
      <c r="A85" s="1" t="s">
        <v>79</v>
      </c>
      <c r="B85" s="1" t="str">
        <f aca="false">IF(  OR(ISNUMBER(SEARCH("SMOTEENN",A85)),ISNUMBER(SEARCH("SMOTETomek",A85))),  "Hybrid",  IF(   AND(    OR(ISNUMBER(SEARCH("SMOTE",A85)),ISNUMBER(SEARCH("SVMSMOTE",A85)),ISNUMBER(SEARCH("RandomOverSampler",A85)),ISNUMBER(SEARCH("BorderlineSmote",A85))),    OR(ISNUMBER(SEARCH("RandomUnderSampler",A85)),ISNUMBER(SEARCH("ClusterCentroids",A85)),ISNUMBER(SEARCH("OneSidedSelection",A85)))   ),   "Over+Under",   IF(    OR(ISNUMBER(SEARCH("SMOTE",A85)),ISNUMBER(SEARCH("SVMSMOTE",A85)),ISNUMBER(SEARCH("RandomOverSampler",A85)),ISNUMBER(SEARCH("BorderlineSmote",A85))),    "Oversampling",    IF(     OR(ISNUMBER(SEARCH("RandomUnderSampler",A85)),ISNUMBER(SEARCH("ClusterCentroids",A85)),ISNUMBER(SEARCH("OneSidedSelection",A85))),     "Undersampler",     "Czysty"    )   )  ) )</f>
        <v>Oversampling</v>
      </c>
      <c r="C85" s="1" t="s">
        <v>74</v>
      </c>
      <c r="D85" s="1" t="n">
        <v>0.7554</v>
      </c>
      <c r="E85" s="1" t="n">
        <v>0.7295</v>
      </c>
      <c r="F85" s="1" t="n">
        <v>0.741</v>
      </c>
      <c r="G85" s="1" t="n">
        <v>0.7353</v>
      </c>
      <c r="I85" s="1"/>
      <c r="J85" s="1"/>
      <c r="K85" s="1"/>
      <c r="L85" s="1"/>
      <c r="M85" s="1"/>
      <c r="N85" s="1"/>
    </row>
    <row r="86" customFormat="false" ht="13.8" hidden="false" customHeight="false" outlineLevel="0" collapsed="false">
      <c r="A86" s="1" t="s">
        <v>123</v>
      </c>
      <c r="B86" s="1" t="str">
        <f aca="false">IF(  OR(ISNUMBER(SEARCH("SMOTEENN",A86)),ISNUMBER(SEARCH("SMOTETomek",A86))),  "Hybrid",  IF(   AND(    OR(ISNUMBER(SEARCH("SMOTE",A86)),ISNUMBER(SEARCH("SVMSMOTE",A86)),ISNUMBER(SEARCH("RandomOverSampler",A86)),ISNUMBER(SEARCH("BorderlineSmote",A86))),    OR(ISNUMBER(SEARCH("RandomUnderSampler",A86)),ISNUMBER(SEARCH("ClusterCentroids",A86)),ISNUMBER(SEARCH("OneSidedSelection",A86)))   ),   "Over+Under",   IF(    OR(ISNUMBER(SEARCH("SMOTE",A86)),ISNUMBER(SEARCH("SVMSMOTE",A86)),ISNUMBER(SEARCH("RandomOverSampler",A86)),ISNUMBER(SEARCH("BorderlineSmote",A86))),    "Oversampling",    IF(     OR(ISNUMBER(SEARCH("RandomUnderSampler",A86)),ISNUMBER(SEARCH("ClusterCentroids",A86)),ISNUMBER(SEARCH("OneSidedSelection",A86))),     "Undersampler",     "Czysty"    )   )  ) )</f>
        <v>Oversampling</v>
      </c>
      <c r="C86" s="1" t="s">
        <v>74</v>
      </c>
      <c r="D86" s="1" t="n">
        <v>0.7312</v>
      </c>
      <c r="E86" s="1" t="n">
        <v>0.7142</v>
      </c>
      <c r="F86" s="1" t="n">
        <v>0.7171</v>
      </c>
      <c r="G86" s="1" t="n">
        <v>0.7316</v>
      </c>
      <c r="I86" s="1"/>
      <c r="J86" s="1"/>
      <c r="K86" s="1"/>
      <c r="L86" s="1"/>
      <c r="M86" s="1"/>
      <c r="N86" s="1"/>
    </row>
    <row r="87" customFormat="false" ht="13.8" hidden="false" customHeight="false" outlineLevel="0" collapsed="false">
      <c r="A87" s="1" t="s">
        <v>80</v>
      </c>
      <c r="B87" s="1" t="str">
        <f aca="false">IF(  OR(ISNUMBER(SEARCH("SMOTEENN",A87)),ISNUMBER(SEARCH("SMOTETomek",A87))),  "Hybrid",  IF(   AND(    OR(ISNUMBER(SEARCH("SMOTE",A87)),ISNUMBER(SEARCH("SVMSMOTE",A87)),ISNUMBER(SEARCH("RandomOverSampler",A87)),ISNUMBER(SEARCH("BorderlineSmote",A87))),    OR(ISNUMBER(SEARCH("RandomUnderSampler",A87)),ISNUMBER(SEARCH("ClusterCentroids",A87)),ISNUMBER(SEARCH("OneSidedSelection",A87)))   ),   "Over+Under",   IF(    OR(ISNUMBER(SEARCH("SMOTE",A87)),ISNUMBER(SEARCH("SVMSMOTE",A87)),ISNUMBER(SEARCH("RandomOverSampler",A87)),ISNUMBER(SEARCH("BorderlineSmote",A87))),    "Oversampling",    IF(     OR(ISNUMBER(SEARCH("RandomUnderSampler",A87)),ISNUMBER(SEARCH("ClusterCentroids",A87)),ISNUMBER(SEARCH("OneSidedSelection",A87))),     "Undersampler",     "Czysty"    )   )  ) )</f>
        <v>Hybrid</v>
      </c>
      <c r="C87" s="1" t="s">
        <v>74</v>
      </c>
      <c r="D87" s="1" t="n">
        <v>0.7151</v>
      </c>
      <c r="E87" s="1" t="n">
        <v>0.6902</v>
      </c>
      <c r="F87" s="1" t="n">
        <v>0.7118</v>
      </c>
      <c r="G87" s="1" t="n">
        <v>0.6901</v>
      </c>
      <c r="I87" s="1"/>
      <c r="J87" s="1"/>
      <c r="K87" s="1"/>
      <c r="L87" s="1"/>
      <c r="M87" s="1"/>
      <c r="N87" s="1"/>
    </row>
    <row r="88" customFormat="false" ht="13.8" hidden="false" customHeight="false" outlineLevel="0" collapsed="false">
      <c r="A88" s="1" t="s">
        <v>81</v>
      </c>
      <c r="B88" s="1" t="str">
        <f aca="false">IF(  OR(ISNUMBER(SEARCH("SMOTEENN",A88)),ISNUMBER(SEARCH("SMOTETomek",A88))),  "Hybrid",  IF(   AND(    OR(ISNUMBER(SEARCH("SMOTE",A88)),ISNUMBER(SEARCH("SVMSMOTE",A88)),ISNUMBER(SEARCH("RandomOverSampler",A88)),ISNUMBER(SEARCH("BorderlineSmote",A88))),    OR(ISNUMBER(SEARCH("RandomUnderSampler",A88)),ISNUMBER(SEARCH("ClusterCentroids",A88)),ISNUMBER(SEARCH("OneSidedSelection",A88)))   ),   "Over+Under",   IF(    OR(ISNUMBER(SEARCH("SMOTE",A88)),ISNUMBER(SEARCH("SVMSMOTE",A88)),ISNUMBER(SEARCH("RandomOverSampler",A88)),ISNUMBER(SEARCH("BorderlineSmote",A88))),    "Oversampling",    IF(     OR(ISNUMBER(SEARCH("RandomUnderSampler",A88)),ISNUMBER(SEARCH("ClusterCentroids",A88)),ISNUMBER(SEARCH("OneSidedSelection",A88))),     "Undersampler",     "Czysty"    )   )  ) )</f>
        <v>Oversampling</v>
      </c>
      <c r="C88" s="1" t="s">
        <v>74</v>
      </c>
      <c r="D88" s="1" t="n">
        <v>0.7097</v>
      </c>
      <c r="E88" s="1" t="n">
        <v>0.6879</v>
      </c>
      <c r="F88" s="1" t="n">
        <v>0.7064</v>
      </c>
      <c r="G88" s="1" t="n">
        <v>0.6908</v>
      </c>
      <c r="I88" s="1"/>
      <c r="J88" s="1"/>
      <c r="K88" s="1"/>
      <c r="L88" s="1"/>
      <c r="M88" s="1"/>
      <c r="N88" s="1"/>
    </row>
    <row r="89" customFormat="false" ht="13.8" hidden="false" customHeight="false" outlineLevel="0" collapsed="false">
      <c r="A89" s="1" t="s">
        <v>23</v>
      </c>
      <c r="B89" s="1" t="str">
        <f aca="false">IF(  OR(ISNUMBER(SEARCH("SMOTEENN",A89)),ISNUMBER(SEARCH("SMOTETomek",A89))),  "Hybrid",  IF(   AND(    OR(ISNUMBER(SEARCH("SMOTE",A89)),ISNUMBER(SEARCH("SVMSMOTE",A89)),ISNUMBER(SEARCH("RandomOverSampler",A89)),ISNUMBER(SEARCH("BorderlineSmote",A89))),    OR(ISNUMBER(SEARCH("RandomUnderSampler",A89)),ISNUMBER(SEARCH("ClusterCentroids",A89)),ISNUMBER(SEARCH("OneSidedSelection",A89)))   ),   "Over+Under",   IF(    OR(ISNUMBER(SEARCH("SMOTE",A89)),ISNUMBER(SEARCH("SVMSMOTE",A89)),ISNUMBER(SEARCH("RandomOverSampler",A89)),ISNUMBER(SEARCH("BorderlineSmote",A89))),    "Oversampling",    IF(     OR(ISNUMBER(SEARCH("RandomUnderSampler",A89)),ISNUMBER(SEARCH("ClusterCentroids",A89)),ISNUMBER(SEARCH("OneSidedSelection",A89))),     "Undersampler",     "Czysty"    )   )  ) )</f>
        <v>Czysty</v>
      </c>
      <c r="C89" s="1" t="s">
        <v>74</v>
      </c>
      <c r="D89" s="1" t="n">
        <v>0.7151</v>
      </c>
      <c r="E89" s="1" t="n">
        <v>0.6698</v>
      </c>
      <c r="F89" s="1" t="n">
        <v>0.7141</v>
      </c>
      <c r="G89" s="1" t="n">
        <v>0.666</v>
      </c>
      <c r="I89" s="1"/>
      <c r="J89" s="1"/>
      <c r="K89" s="1"/>
      <c r="L89" s="1"/>
      <c r="M89" s="1"/>
      <c r="N89" s="1"/>
    </row>
    <row r="90" customFormat="false" ht="13.8" hidden="false" customHeight="false" outlineLevel="0" collapsed="false">
      <c r="A90" s="1" t="s">
        <v>124</v>
      </c>
      <c r="B90" s="1" t="str">
        <f aca="false">IF(  OR(ISNUMBER(SEARCH("SMOTEENN",A90)),ISNUMBER(SEARCH("SMOTETomek",A90))),  "Hybrid",  IF(   AND(    OR(ISNUMBER(SEARCH("SMOTE",A90)),ISNUMBER(SEARCH("SVMSMOTE",A90)),ISNUMBER(SEARCH("RandomOverSampler",A90)),ISNUMBER(SEARCH("BorderlineSmote",A90))),    OR(ISNUMBER(SEARCH("RandomUnderSampler",A90)),ISNUMBER(SEARCH("ClusterCentroids",A90)),ISNUMBER(SEARCH("OneSidedSelection",A90)))   ),   "Over+Under",   IF(    OR(ISNUMBER(SEARCH("SMOTE",A90)),ISNUMBER(SEARCH("SVMSMOTE",A90)),ISNUMBER(SEARCH("RandomOverSampler",A90)),ISNUMBER(SEARCH("BorderlineSmote",A90))),    "Oversampling",    IF(     OR(ISNUMBER(SEARCH("RandomUnderSampler",A90)),ISNUMBER(SEARCH("ClusterCentroids",A90)),ISNUMBER(SEARCH("OneSidedSelection",A90))),     "Undersampler",     "Czysty"    )   )  ) )</f>
        <v>Over+Under</v>
      </c>
      <c r="C90" s="1" t="s">
        <v>74</v>
      </c>
      <c r="D90" s="1" t="n">
        <v>0.6801</v>
      </c>
      <c r="E90" s="1" t="n">
        <v>0.6663</v>
      </c>
      <c r="F90" s="1" t="n">
        <v>0.6784</v>
      </c>
      <c r="G90" s="1" t="n">
        <v>0.7016</v>
      </c>
      <c r="I90" s="1"/>
      <c r="J90" s="1"/>
      <c r="K90" s="1"/>
      <c r="L90" s="1"/>
      <c r="M90" s="1"/>
      <c r="N90" s="1"/>
    </row>
    <row r="91" customFormat="false" ht="13.8" hidden="false" customHeight="false" outlineLevel="0" collapsed="false">
      <c r="A91" s="1" t="s">
        <v>85</v>
      </c>
      <c r="B91" s="1" t="str">
        <f aca="false">IF(  OR(ISNUMBER(SEARCH("SMOTEENN",A91)),ISNUMBER(SEARCH("SMOTETomek",A91))),  "Hybrid",  IF(   AND(    OR(ISNUMBER(SEARCH("SMOTE",A91)),ISNUMBER(SEARCH("SVMSMOTE",A91)),ISNUMBER(SEARCH("RandomOverSampler",A91)),ISNUMBER(SEARCH("BorderlineSmote",A91))),    OR(ISNUMBER(SEARCH("RandomUnderSampler",A91)),ISNUMBER(SEARCH("ClusterCentroids",A91)),ISNUMBER(SEARCH("OneSidedSelection",A91)))   ),   "Over+Under",   IF(    OR(ISNUMBER(SEARCH("SMOTE",A91)),ISNUMBER(SEARCH("SVMSMOTE",A91)),ISNUMBER(SEARCH("RandomOverSampler",A91)),ISNUMBER(SEARCH("BorderlineSmote",A91))),    "Oversampling",    IF(     OR(ISNUMBER(SEARCH("RandomUnderSampler",A91)),ISNUMBER(SEARCH("ClusterCentroids",A91)),ISNUMBER(SEARCH("OneSidedSelection",A91))),     "Undersampler",     "Czysty"    )   )  ) )</f>
        <v>Over+Under</v>
      </c>
      <c r="C91" s="1" t="s">
        <v>74</v>
      </c>
      <c r="D91" s="1" t="n">
        <v>0.6452</v>
      </c>
      <c r="E91" s="1" t="n">
        <v>0.6578</v>
      </c>
      <c r="F91" s="1" t="n">
        <v>0.688</v>
      </c>
      <c r="G91" s="1" t="n">
        <v>0.6785</v>
      </c>
      <c r="I91" s="1"/>
      <c r="J91" s="1"/>
      <c r="K91" s="1"/>
      <c r="L91" s="1"/>
      <c r="M91" s="1"/>
      <c r="N91" s="1"/>
    </row>
    <row r="92" customFormat="false" ht="13.8" hidden="false" customHeight="false" outlineLevel="0" collapsed="false">
      <c r="A92" s="1" t="s">
        <v>88</v>
      </c>
      <c r="B92" s="1" t="str">
        <f aca="false">IF(  OR(ISNUMBER(SEARCH("SMOTEENN",A92)),ISNUMBER(SEARCH("SMOTETomek",A92))),  "Hybrid",  IF(   AND(    OR(ISNUMBER(SEARCH("SMOTE",A92)),ISNUMBER(SEARCH("SVMSMOTE",A92)),ISNUMBER(SEARCH("RandomOverSampler",A92)),ISNUMBER(SEARCH("BorderlineSmote",A92))),    OR(ISNUMBER(SEARCH("RandomUnderSampler",A92)),ISNUMBER(SEARCH("ClusterCentroids",A92)),ISNUMBER(SEARCH("OneSidedSelection",A92)))   ),   "Over+Under",   IF(    OR(ISNUMBER(SEARCH("SMOTE",A92)),ISNUMBER(SEARCH("SVMSMOTE",A92)),ISNUMBER(SEARCH("RandomOverSampler",A92)),ISNUMBER(SEARCH("BorderlineSmote",A92))),    "Oversampling",    IF(     OR(ISNUMBER(SEARCH("RandomUnderSampler",A92)),ISNUMBER(SEARCH("ClusterCentroids",A92)),ISNUMBER(SEARCH("OneSidedSelection",A92))),     "Undersampler",     "Czysty"    )   )  ) )</f>
        <v>Over+Under</v>
      </c>
      <c r="C92" s="1" t="s">
        <v>74</v>
      </c>
      <c r="D92" s="1" t="n">
        <v>0.6935</v>
      </c>
      <c r="E92" s="1" t="n">
        <v>0.6485</v>
      </c>
      <c r="F92" s="1" t="n">
        <v>0.6816</v>
      </c>
      <c r="G92" s="1" t="n">
        <v>0.6497</v>
      </c>
      <c r="I92" s="1"/>
      <c r="J92" s="1"/>
      <c r="K92" s="1"/>
      <c r="L92" s="1"/>
      <c r="M92" s="1"/>
      <c r="N92" s="1"/>
    </row>
    <row r="93" customFormat="false" ht="13.8" hidden="false" customHeight="false" outlineLevel="0" collapsed="false">
      <c r="A93" s="1" t="s">
        <v>82</v>
      </c>
      <c r="B93" s="1" t="str">
        <f aca="false">IF(  OR(ISNUMBER(SEARCH("SMOTEENN",A93)),ISNUMBER(SEARCH("SMOTETomek",A93))),  "Hybrid",  IF(   AND(    OR(ISNUMBER(SEARCH("SMOTE",A93)),ISNUMBER(SEARCH("SVMSMOTE",A93)),ISNUMBER(SEARCH("RandomOverSampler",A93)),ISNUMBER(SEARCH("BorderlineSmote",A93))),    OR(ISNUMBER(SEARCH("RandomUnderSampler",A93)),ISNUMBER(SEARCH("ClusterCentroids",A93)),ISNUMBER(SEARCH("OneSidedSelection",A93)))   ),   "Over+Under",   IF(    OR(ISNUMBER(SEARCH("SMOTE",A93)),ISNUMBER(SEARCH("SVMSMOTE",A93)),ISNUMBER(SEARCH("RandomOverSampler",A93)),ISNUMBER(SEARCH("BorderlineSmote",A93))),    "Oversampling",    IF(     OR(ISNUMBER(SEARCH("RandomUnderSampler",A93)),ISNUMBER(SEARCH("ClusterCentroids",A93)),ISNUMBER(SEARCH("OneSidedSelection",A93))),     "Undersampler",     "Czysty"    )   )  ) )</f>
        <v>Over+Under</v>
      </c>
      <c r="C93" s="1" t="s">
        <v>74</v>
      </c>
      <c r="D93" s="1" t="n">
        <v>0.6694</v>
      </c>
      <c r="E93" s="1" t="n">
        <v>0.6466</v>
      </c>
      <c r="F93" s="1" t="n">
        <v>0.6563</v>
      </c>
      <c r="G93" s="1" t="n">
        <v>0.6663</v>
      </c>
      <c r="I93" s="1"/>
      <c r="J93" s="1"/>
      <c r="K93" s="1"/>
      <c r="L93" s="1"/>
      <c r="M93" s="1"/>
      <c r="N93" s="1"/>
    </row>
    <row r="94" customFormat="false" ht="13.8" hidden="false" customHeight="false" outlineLevel="0" collapsed="false">
      <c r="A94" s="1" t="s">
        <v>83</v>
      </c>
      <c r="B94" s="1" t="str">
        <f aca="false">IF(  OR(ISNUMBER(SEARCH("SMOTEENN",A94)),ISNUMBER(SEARCH("SMOTETomek",A94))),  "Hybrid",  IF(   AND(    OR(ISNUMBER(SEARCH("SMOTE",A94)),ISNUMBER(SEARCH("SVMSMOTE",A94)),ISNUMBER(SEARCH("RandomOverSampler",A94)),ISNUMBER(SEARCH("BorderlineSmote",A94))),    OR(ISNUMBER(SEARCH("RandomUnderSampler",A94)),ISNUMBER(SEARCH("ClusterCentroids",A94)),ISNUMBER(SEARCH("OneSidedSelection",A94)))   ),   "Over+Under",   IF(    OR(ISNUMBER(SEARCH("SMOTE",A94)),ISNUMBER(SEARCH("SVMSMOTE",A94)),ISNUMBER(SEARCH("RandomOverSampler",A94)),ISNUMBER(SEARCH("BorderlineSmote",A94))),    "Oversampling",    IF(     OR(ISNUMBER(SEARCH("RandomUnderSampler",A94)),ISNUMBER(SEARCH("ClusterCentroids",A94)),ISNUMBER(SEARCH("OneSidedSelection",A94))),     "Undersampler",     "Czysty"    )   )  ) )</f>
        <v>Over+Under</v>
      </c>
      <c r="C94" s="1" t="s">
        <v>74</v>
      </c>
      <c r="D94" s="1" t="n">
        <v>0.6532</v>
      </c>
      <c r="E94" s="1" t="n">
        <v>0.6445</v>
      </c>
      <c r="F94" s="1" t="n">
        <v>0.6395</v>
      </c>
      <c r="G94" s="1" t="n">
        <v>0.6715</v>
      </c>
      <c r="I94" s="1"/>
      <c r="J94" s="1"/>
      <c r="K94" s="1"/>
      <c r="L94" s="1"/>
      <c r="M94" s="1"/>
      <c r="N94" s="1"/>
    </row>
    <row r="95" customFormat="false" ht="13.8" hidden="false" customHeight="false" outlineLevel="0" collapsed="false">
      <c r="A95" s="1" t="s">
        <v>86</v>
      </c>
      <c r="B95" s="1" t="str">
        <f aca="false">IF(  OR(ISNUMBER(SEARCH("SMOTEENN",A95)),ISNUMBER(SEARCH("SMOTETomek",A95))),  "Hybrid",  IF(   AND(    OR(ISNUMBER(SEARCH("SMOTE",A95)),ISNUMBER(SEARCH("SVMSMOTE",A95)),ISNUMBER(SEARCH("RandomOverSampler",A95)),ISNUMBER(SEARCH("BorderlineSmote",A95))),    OR(ISNUMBER(SEARCH("RandomUnderSampler",A95)),ISNUMBER(SEARCH("ClusterCentroids",A95)),ISNUMBER(SEARCH("OneSidedSelection",A95)))   ),   "Over+Under",   IF(    OR(ISNUMBER(SEARCH("SMOTE",A95)),ISNUMBER(SEARCH("SVMSMOTE",A95)),ISNUMBER(SEARCH("RandomOverSampler",A95)),ISNUMBER(SEARCH("BorderlineSmote",A95))),    "Oversampling",    IF(     OR(ISNUMBER(SEARCH("RandomUnderSampler",A95)),ISNUMBER(SEARCH("ClusterCentroids",A95)),ISNUMBER(SEARCH("OneSidedSelection",A95))),     "Undersampler",     "Czysty"    )   )  ) )</f>
        <v>Over+Under</v>
      </c>
      <c r="C95" s="1" t="s">
        <v>74</v>
      </c>
      <c r="D95" s="1" t="n">
        <v>0.6478</v>
      </c>
      <c r="E95" s="1" t="n">
        <v>0.635</v>
      </c>
      <c r="F95" s="1" t="n">
        <v>0.6681</v>
      </c>
      <c r="G95" s="1" t="n">
        <v>0.6607</v>
      </c>
      <c r="I95" s="1"/>
      <c r="J95" s="1"/>
      <c r="K95" s="1"/>
      <c r="L95" s="1"/>
      <c r="M95" s="1"/>
      <c r="N95" s="1"/>
    </row>
    <row r="96" customFormat="false" ht="13.8" hidden="false" customHeight="false" outlineLevel="0" collapsed="false">
      <c r="A96" s="1" t="s">
        <v>125</v>
      </c>
      <c r="B96" s="1" t="str">
        <f aca="false">IF(  OR(ISNUMBER(SEARCH("SMOTEENN",A96)),ISNUMBER(SEARCH("SMOTETomek",A96))),  "Hybrid",  IF(   AND(    OR(ISNUMBER(SEARCH("SMOTE",A96)),ISNUMBER(SEARCH("SVMSMOTE",A96)),ISNUMBER(SEARCH("RandomOverSampler",A96)),ISNUMBER(SEARCH("BorderlineSmote",A96))),    OR(ISNUMBER(SEARCH("RandomUnderSampler",A96)),ISNUMBER(SEARCH("ClusterCentroids",A96)),ISNUMBER(SEARCH("OneSidedSelection",A96)))   ),   "Over+Under",   IF(    OR(ISNUMBER(SEARCH("SMOTE",A96)),ISNUMBER(SEARCH("SVMSMOTE",A96)),ISNUMBER(SEARCH("RandomOverSampler",A96)),ISNUMBER(SEARCH("BorderlineSmote",A96))),    "Oversampling",    IF(     OR(ISNUMBER(SEARCH("RandomUnderSampler",A96)),ISNUMBER(SEARCH("ClusterCentroids",A96)),ISNUMBER(SEARCH("OneSidedSelection",A96))),     "Undersampler",     "Czysty"    )   )  ) )</f>
        <v>Over+Under</v>
      </c>
      <c r="C96" s="1" t="s">
        <v>74</v>
      </c>
      <c r="D96" s="1" t="n">
        <v>0.6183</v>
      </c>
      <c r="E96" s="1" t="n">
        <v>0.6135</v>
      </c>
      <c r="F96" s="1" t="n">
        <v>0.6343</v>
      </c>
      <c r="G96" s="1" t="n">
        <v>0.647</v>
      </c>
      <c r="I96" s="1"/>
      <c r="J96" s="1"/>
      <c r="K96" s="1"/>
      <c r="L96" s="1"/>
      <c r="M96" s="1"/>
      <c r="N96" s="1"/>
    </row>
    <row r="97" customFormat="false" ht="13.8" hidden="false" customHeight="false" outlineLevel="0" collapsed="false">
      <c r="A97" s="1" t="s">
        <v>84</v>
      </c>
      <c r="B97" s="1" t="str">
        <f aca="false">IF(  OR(ISNUMBER(SEARCH("SMOTEENN",A97)),ISNUMBER(SEARCH("SMOTETomek",A97))),  "Hybrid",  IF(   AND(    OR(ISNUMBER(SEARCH("SMOTE",A97)),ISNUMBER(SEARCH("SVMSMOTE",A97)),ISNUMBER(SEARCH("RandomOverSampler",A97)),ISNUMBER(SEARCH("BorderlineSmote",A97))),    OR(ISNUMBER(SEARCH("RandomUnderSampler",A97)),ISNUMBER(SEARCH("ClusterCentroids",A97)),ISNUMBER(SEARCH("OneSidedSelection",A97)))   ),   "Over+Under",   IF(    OR(ISNUMBER(SEARCH("SMOTE",A97)),ISNUMBER(SEARCH("SVMSMOTE",A97)),ISNUMBER(SEARCH("RandomOverSampler",A97)),ISNUMBER(SEARCH("BorderlineSmote",A97))),    "Oversampling",    IF(     OR(ISNUMBER(SEARCH("RandomUnderSampler",A97)),ISNUMBER(SEARCH("ClusterCentroids",A97)),ISNUMBER(SEARCH("OneSidedSelection",A97))),     "Undersampler",     "Czysty"    )   )  ) )</f>
        <v>Over+Under</v>
      </c>
      <c r="C97" s="1" t="s">
        <v>74</v>
      </c>
      <c r="D97" s="1" t="n">
        <v>0.6478</v>
      </c>
      <c r="E97" s="1" t="n">
        <v>0.6049</v>
      </c>
      <c r="F97" s="1" t="n">
        <v>0.647</v>
      </c>
      <c r="G97" s="1" t="n">
        <v>0.6096</v>
      </c>
      <c r="I97" s="1"/>
      <c r="J97" s="1"/>
      <c r="K97" s="1"/>
      <c r="L97" s="1"/>
      <c r="M97" s="1"/>
      <c r="N97" s="1"/>
    </row>
    <row r="98" customFormat="false" ht="13.8" hidden="false" customHeight="false" outlineLevel="0" collapsed="false">
      <c r="A98" s="1" t="s">
        <v>87</v>
      </c>
      <c r="B98" s="1" t="str">
        <f aca="false">IF(  OR(ISNUMBER(SEARCH("SMOTEENN",A98)),ISNUMBER(SEARCH("SMOTETomek",A98))),  "Hybrid",  IF(   AND(    OR(ISNUMBER(SEARCH("SMOTE",A98)),ISNUMBER(SEARCH("SVMSMOTE",A98)),ISNUMBER(SEARCH("RandomOverSampler",A98)),ISNUMBER(SEARCH("BorderlineSmote",A98))),    OR(ISNUMBER(SEARCH("RandomUnderSampler",A98)),ISNUMBER(SEARCH("ClusterCentroids",A98)),ISNUMBER(SEARCH("OneSidedSelection",A98)))   ),   "Over+Under",   IF(    OR(ISNUMBER(SEARCH("SMOTE",A98)),ISNUMBER(SEARCH("SVMSMOTE",A98)),ISNUMBER(SEARCH("RandomOverSampler",A98)),ISNUMBER(SEARCH("BorderlineSmote",A98))),    "Oversampling",    IF(     OR(ISNUMBER(SEARCH("RandomUnderSampler",A98)),ISNUMBER(SEARCH("ClusterCentroids",A98)),ISNUMBER(SEARCH("OneSidedSelection",A98))),     "Undersampler",     "Czysty"    )   )  ) )</f>
        <v>Hybrid</v>
      </c>
      <c r="C98" s="1" t="s">
        <v>74</v>
      </c>
      <c r="D98" s="1" t="n">
        <v>0.5618</v>
      </c>
      <c r="E98" s="1" t="n">
        <v>0.5567</v>
      </c>
      <c r="F98" s="1" t="n">
        <v>0.5774</v>
      </c>
      <c r="G98" s="1" t="n">
        <v>0.6247</v>
      </c>
      <c r="I98" s="1"/>
      <c r="J98" s="1"/>
      <c r="K98" s="1"/>
      <c r="L98" s="1"/>
      <c r="M98" s="1"/>
      <c r="N98" s="1"/>
    </row>
    <row r="100" customFormat="false" ht="13.8" hidden="false" customHeight="false" outlineLevel="0" collapsed="false">
      <c r="A100" s="2" t="s">
        <v>26</v>
      </c>
      <c r="B100" s="2"/>
      <c r="C100" s="2"/>
      <c r="D100" s="2"/>
      <c r="E100" s="2"/>
      <c r="F100" s="2"/>
      <c r="G100" s="2"/>
    </row>
    <row r="101" customFormat="false" ht="13.8" hidden="false" customHeight="false" outlineLevel="0" collapsed="false">
      <c r="A101" s="4" t="s">
        <v>2</v>
      </c>
      <c r="B101" s="4" t="s">
        <v>4</v>
      </c>
      <c r="C101" s="4" t="s">
        <v>5</v>
      </c>
      <c r="D101" s="4" t="s">
        <v>6</v>
      </c>
      <c r="E101" s="4" t="s">
        <v>127</v>
      </c>
      <c r="F101" s="4" t="s">
        <v>9</v>
      </c>
      <c r="G101" s="4" t="s">
        <v>10</v>
      </c>
    </row>
    <row r="102" customFormat="false" ht="13.8" hidden="false" customHeight="false" outlineLevel="0" collapsed="false">
      <c r="A102" s="1" t="s">
        <v>26</v>
      </c>
      <c r="B102" s="1" t="str">
        <f aca="false">IF(  OR(ISNUMBER(SEARCH("SMOTEENN",A102)),ISNUMBER(SEARCH("SMOTETomek",A102))),  "Hybrid",  IF(   AND(    OR(ISNUMBER(SEARCH("SMOTE",A102)),ISNUMBER(SEARCH("SVMSMOTE",A102)),ISNUMBER(SEARCH("RandomOverSampler",A102)),ISNUMBER(SEARCH("BorderlineSmote",A102))),    OR(ISNUMBER(SEARCH("RandomUnderSampler",A102)),ISNUMBER(SEARCH("ClusterCentroids",A102)),ISNUMBER(SEARCH("OneSidedSelection",A102)))   ),   "Over+Under",   IF(    OR(ISNUMBER(SEARCH("SMOTE",A102)),ISNUMBER(SEARCH("SVMSMOTE",A102)),ISNUMBER(SEARCH("RandomOverSampler",A102)),ISNUMBER(SEARCH("BorderlineSmote",A102))),    "Oversampling",    IF(     OR(ISNUMBER(SEARCH("RandomUnderSampler",A102)),ISNUMBER(SEARCH("ClusterCentroids",A102)),ISNUMBER(SEARCH("OneSidedSelection",A102))),     "Undersampler",     "Czysty"    )   )  ) )</f>
        <v>Czysty</v>
      </c>
      <c r="C102" s="1" t="s">
        <v>14</v>
      </c>
      <c r="D102" s="1" t="n">
        <v>0.6989</v>
      </c>
      <c r="E102" s="1" t="n">
        <v>0.6799</v>
      </c>
      <c r="F102" s="1" t="n">
        <v>0.7728</v>
      </c>
      <c r="G102" s="1" t="n">
        <v>0.6856</v>
      </c>
      <c r="I102" s="1"/>
      <c r="J102" s="1"/>
      <c r="K102" s="1"/>
      <c r="L102" s="1"/>
      <c r="M102" s="1"/>
      <c r="N102" s="1"/>
    </row>
    <row r="103" customFormat="false" ht="13.8" hidden="false" customHeight="false" outlineLevel="0" collapsed="false">
      <c r="A103" s="1" t="s">
        <v>80</v>
      </c>
      <c r="B103" s="1" t="str">
        <f aca="false">IF(  OR(ISNUMBER(SEARCH("SMOTEENN",A103)),ISNUMBER(SEARCH("SMOTETomek",A103))),  "Hybrid",  IF(   AND(    OR(ISNUMBER(SEARCH("SMOTE",A103)),ISNUMBER(SEARCH("SVMSMOTE",A103)),ISNUMBER(SEARCH("RandomOverSampler",A103)),ISNUMBER(SEARCH("BorderlineSmote",A103))),    OR(ISNUMBER(SEARCH("RandomUnderSampler",A103)),ISNUMBER(SEARCH("ClusterCentroids",A103)),ISNUMBER(SEARCH("OneSidedSelection",A103)))   ),   "Over+Under",   IF(    OR(ISNUMBER(SEARCH("SMOTE",A103)),ISNUMBER(SEARCH("SVMSMOTE",A103)),ISNUMBER(SEARCH("RandomOverSampler",A103)),ISNUMBER(SEARCH("BorderlineSmote",A103))),    "Oversampling",    IF(     OR(ISNUMBER(SEARCH("RandomUnderSampler",A103)),ISNUMBER(SEARCH("ClusterCentroids",A103)),ISNUMBER(SEARCH("OneSidedSelection",A103))),     "Undersampler",     "Czysty"    )   )  ) )</f>
        <v>Hybrid</v>
      </c>
      <c r="C103" s="1" t="s">
        <v>14</v>
      </c>
      <c r="D103" s="1" t="n">
        <v>0.4946</v>
      </c>
      <c r="E103" s="1" t="n">
        <v>0.4526</v>
      </c>
      <c r="F103" s="1" t="n">
        <v>0.5623</v>
      </c>
      <c r="G103" s="1" t="n">
        <v>0.4612</v>
      </c>
      <c r="I103" s="1"/>
      <c r="J103" s="1"/>
      <c r="K103" s="1"/>
      <c r="L103" s="1"/>
      <c r="M103" s="1"/>
      <c r="N103" s="1"/>
    </row>
    <row r="104" customFormat="false" ht="13.8" hidden="false" customHeight="false" outlineLevel="0" collapsed="false">
      <c r="A104" s="1" t="s">
        <v>83</v>
      </c>
      <c r="B104" s="1" t="str">
        <f aca="false">IF(  OR(ISNUMBER(SEARCH("SMOTEENN",A104)),ISNUMBER(SEARCH("SMOTETomek",A104))),  "Hybrid",  IF(   AND(    OR(ISNUMBER(SEARCH("SMOTE",A104)),ISNUMBER(SEARCH("SVMSMOTE",A104)),ISNUMBER(SEARCH("RandomOverSampler",A104)),ISNUMBER(SEARCH("BorderlineSmote",A104))),    OR(ISNUMBER(SEARCH("RandomUnderSampler",A104)),ISNUMBER(SEARCH("ClusterCentroids",A104)),ISNUMBER(SEARCH("OneSidedSelection",A104)))   ),   "Over+Under",   IF(    OR(ISNUMBER(SEARCH("SMOTE",A104)),ISNUMBER(SEARCH("SVMSMOTE",A104)),ISNUMBER(SEARCH("RandomOverSampler",A104)),ISNUMBER(SEARCH("BorderlineSmote",A104))),    "Oversampling",    IF(     OR(ISNUMBER(SEARCH("RandomUnderSampler",A104)),ISNUMBER(SEARCH("ClusterCentroids",A104)),ISNUMBER(SEARCH("OneSidedSelection",A104))),     "Undersampler",     "Czysty"    )   )  ) )</f>
        <v>Over+Under</v>
      </c>
      <c r="C104" s="1" t="s">
        <v>14</v>
      </c>
      <c r="D104" s="1" t="n">
        <v>0.4382</v>
      </c>
      <c r="E104" s="1" t="n">
        <v>0.4229</v>
      </c>
      <c r="F104" s="1" t="n">
        <v>0.5028</v>
      </c>
      <c r="G104" s="1" t="n">
        <v>0.4351</v>
      </c>
      <c r="I104" s="1"/>
      <c r="J104" s="1"/>
      <c r="K104" s="1"/>
      <c r="L104" s="1"/>
      <c r="M104" s="1"/>
      <c r="N104" s="1"/>
    </row>
    <row r="105" customFormat="false" ht="13.8" hidden="false" customHeight="false" outlineLevel="0" collapsed="false">
      <c r="A105" s="1" t="s">
        <v>123</v>
      </c>
      <c r="B105" s="1" t="str">
        <f aca="false">IF(  OR(ISNUMBER(SEARCH("SMOTEENN",A105)),ISNUMBER(SEARCH("SMOTETomek",A105))),  "Hybrid",  IF(   AND(    OR(ISNUMBER(SEARCH("SMOTE",A105)),ISNUMBER(SEARCH("SVMSMOTE",A105)),ISNUMBER(SEARCH("RandomOverSampler",A105)),ISNUMBER(SEARCH("BorderlineSmote",A105))),    OR(ISNUMBER(SEARCH("RandomUnderSampler",A105)),ISNUMBER(SEARCH("ClusterCentroids",A105)),ISNUMBER(SEARCH("OneSidedSelection",A105)))   ),   "Over+Under",   IF(    OR(ISNUMBER(SEARCH("SMOTE",A105)),ISNUMBER(SEARCH("SVMSMOTE",A105)),ISNUMBER(SEARCH("RandomOverSampler",A105)),ISNUMBER(SEARCH("BorderlineSmote",A105))),    "Oversampling",    IF(     OR(ISNUMBER(SEARCH("RandomUnderSampler",A105)),ISNUMBER(SEARCH("ClusterCentroids",A105)),ISNUMBER(SEARCH("OneSidedSelection",A105))),     "Undersampler",     "Czysty"    )   )  ) )</f>
        <v>Oversampling</v>
      </c>
      <c r="C105" s="1" t="s">
        <v>14</v>
      </c>
      <c r="D105" s="1" t="n">
        <v>0.4677</v>
      </c>
      <c r="E105" s="1" t="n">
        <v>0.4206</v>
      </c>
      <c r="F105" s="1" t="n">
        <v>0.5999</v>
      </c>
      <c r="G105" s="1" t="n">
        <v>0.4233</v>
      </c>
      <c r="I105" s="1"/>
      <c r="J105" s="1"/>
      <c r="K105" s="1"/>
      <c r="L105" s="1"/>
      <c r="M105" s="1"/>
      <c r="N105" s="1"/>
    </row>
    <row r="106" customFormat="false" ht="13.8" hidden="false" customHeight="false" outlineLevel="0" collapsed="false">
      <c r="A106" s="1" t="s">
        <v>82</v>
      </c>
      <c r="B106" s="1" t="str">
        <f aca="false">IF(  OR(ISNUMBER(SEARCH("SMOTEENN",A106)),ISNUMBER(SEARCH("SMOTETomek",A106))),  "Hybrid",  IF(   AND(    OR(ISNUMBER(SEARCH("SMOTE",A106)),ISNUMBER(SEARCH("SVMSMOTE",A106)),ISNUMBER(SEARCH("RandomOverSampler",A106)),ISNUMBER(SEARCH("BorderlineSmote",A106))),    OR(ISNUMBER(SEARCH("RandomUnderSampler",A106)),ISNUMBER(SEARCH("ClusterCentroids",A106)),ISNUMBER(SEARCH("OneSidedSelection",A106)))   ),   "Over+Under",   IF(    OR(ISNUMBER(SEARCH("SMOTE",A106)),ISNUMBER(SEARCH("SVMSMOTE",A106)),ISNUMBER(SEARCH("RandomOverSampler",A106)),ISNUMBER(SEARCH("BorderlineSmote",A106))),    "Oversampling",    IF(     OR(ISNUMBER(SEARCH("RandomUnderSampler",A106)),ISNUMBER(SEARCH("ClusterCentroids",A106)),ISNUMBER(SEARCH("OneSidedSelection",A106))),     "Undersampler",     "Czysty"    )   )  ) )</f>
        <v>Over+Under</v>
      </c>
      <c r="C106" s="1" t="s">
        <v>14</v>
      </c>
      <c r="D106" s="1" t="n">
        <v>0.4516</v>
      </c>
      <c r="E106" s="1" t="n">
        <v>0.3978</v>
      </c>
      <c r="F106" s="1" t="n">
        <v>0.494</v>
      </c>
      <c r="G106" s="1" t="n">
        <v>0.4244</v>
      </c>
      <c r="I106" s="1"/>
      <c r="J106" s="1"/>
      <c r="K106" s="1"/>
      <c r="L106" s="1"/>
      <c r="M106" s="1"/>
      <c r="N106" s="1"/>
    </row>
    <row r="107" customFormat="false" ht="13.8" hidden="false" customHeight="false" outlineLevel="0" collapsed="false">
      <c r="A107" s="1" t="s">
        <v>124</v>
      </c>
      <c r="B107" s="1" t="str">
        <f aca="false">IF(  OR(ISNUMBER(SEARCH("SMOTEENN",A107)),ISNUMBER(SEARCH("SMOTETomek",A107))),  "Hybrid",  IF(   AND(    OR(ISNUMBER(SEARCH("SMOTE",A107)),ISNUMBER(SEARCH("SVMSMOTE",A107)),ISNUMBER(SEARCH("RandomOverSampler",A107)),ISNUMBER(SEARCH("BorderlineSmote",A107))),    OR(ISNUMBER(SEARCH("RandomUnderSampler",A107)),ISNUMBER(SEARCH("ClusterCentroids",A107)),ISNUMBER(SEARCH("OneSidedSelection",A107)))   ),   "Over+Under",   IF(    OR(ISNUMBER(SEARCH("SMOTE",A107)),ISNUMBER(SEARCH("SVMSMOTE",A107)),ISNUMBER(SEARCH("RandomOverSampler",A107)),ISNUMBER(SEARCH("BorderlineSmote",A107))),    "Oversampling",    IF(     OR(ISNUMBER(SEARCH("RandomUnderSampler",A107)),ISNUMBER(SEARCH("ClusterCentroids",A107)),ISNUMBER(SEARCH("OneSidedSelection",A107))),     "Undersampler",     "Czysty"    )   )  ) )</f>
        <v>Over+Under</v>
      </c>
      <c r="C107" s="1" t="s">
        <v>14</v>
      </c>
      <c r="D107" s="1" t="n">
        <v>0.4462</v>
      </c>
      <c r="E107" s="1" t="n">
        <v>0.3899</v>
      </c>
      <c r="F107" s="1" t="n">
        <v>0.5283</v>
      </c>
      <c r="G107" s="1" t="n">
        <v>0.4232</v>
      </c>
      <c r="I107" s="1"/>
      <c r="J107" s="1"/>
      <c r="K107" s="1"/>
      <c r="L107" s="1"/>
      <c r="M107" s="1"/>
      <c r="N107" s="1"/>
    </row>
    <row r="108" customFormat="false" ht="13.8" hidden="false" customHeight="false" outlineLevel="0" collapsed="false">
      <c r="A108" s="1" t="s">
        <v>79</v>
      </c>
      <c r="B108" s="1" t="str">
        <f aca="false">IF(  OR(ISNUMBER(SEARCH("SMOTEENN",A108)),ISNUMBER(SEARCH("SMOTETomek",A108))),  "Hybrid",  IF(   AND(    OR(ISNUMBER(SEARCH("SMOTE",A108)),ISNUMBER(SEARCH("SVMSMOTE",A108)),ISNUMBER(SEARCH("RandomOverSampler",A108)),ISNUMBER(SEARCH("BorderlineSmote",A108))),    OR(ISNUMBER(SEARCH("RandomUnderSampler",A108)),ISNUMBER(SEARCH("ClusterCentroids",A108)),ISNUMBER(SEARCH("OneSidedSelection",A108)))   ),   "Over+Under",   IF(    OR(ISNUMBER(SEARCH("SMOTE",A108)),ISNUMBER(SEARCH("SVMSMOTE",A108)),ISNUMBER(SEARCH("RandomOverSampler",A108)),ISNUMBER(SEARCH("BorderlineSmote",A108))),    "Oversampling",    IF(     OR(ISNUMBER(SEARCH("RandomUnderSampler",A108)),ISNUMBER(SEARCH("ClusterCentroids",A108)),ISNUMBER(SEARCH("OneSidedSelection",A108))),     "Undersampler",     "Czysty"    )   )  ) )</f>
        <v>Oversampling</v>
      </c>
      <c r="C108" s="1" t="s">
        <v>14</v>
      </c>
      <c r="D108" s="1" t="n">
        <v>0.4409</v>
      </c>
      <c r="E108" s="1" t="n">
        <v>0.3866</v>
      </c>
      <c r="F108" s="1" t="n">
        <v>0.4912</v>
      </c>
      <c r="G108" s="1" t="n">
        <v>0.4176</v>
      </c>
      <c r="I108" s="1"/>
      <c r="J108" s="1"/>
      <c r="K108" s="1"/>
      <c r="L108" s="1"/>
      <c r="M108" s="1"/>
      <c r="N108" s="1"/>
    </row>
    <row r="109" customFormat="false" ht="13.8" hidden="false" customHeight="false" outlineLevel="0" collapsed="false">
      <c r="A109" s="1" t="s">
        <v>126</v>
      </c>
      <c r="B109" s="1" t="str">
        <f aca="false">IF(  OR(ISNUMBER(SEARCH("SMOTEENN",A109)),ISNUMBER(SEARCH("SMOTETomek",A109))),  "Hybrid",  IF(   AND(    OR(ISNUMBER(SEARCH("SMOTE",A109)),ISNUMBER(SEARCH("SVMSMOTE",A109)),ISNUMBER(SEARCH("RandomOverSampler",A109)),ISNUMBER(SEARCH("BorderlineSmote",A109))),    OR(ISNUMBER(SEARCH("RandomUnderSampler",A109)),ISNUMBER(SEARCH("ClusterCentroids",A109)),ISNUMBER(SEARCH("OneSidedSelection",A109)))   ),   "Over+Under",   IF(    OR(ISNUMBER(SEARCH("SMOTE",A109)),ISNUMBER(SEARCH("SVMSMOTE",A109)),ISNUMBER(SEARCH("RandomOverSampler",A109)),ISNUMBER(SEARCH("BorderlineSmote",A109))),    "Oversampling",    IF(     OR(ISNUMBER(SEARCH("RandomUnderSampler",A109)),ISNUMBER(SEARCH("ClusterCentroids",A109)),ISNUMBER(SEARCH("OneSidedSelection",A109))),     "Undersampler",     "Czysty"    )   )  ) )</f>
        <v>Oversampling</v>
      </c>
      <c r="C109" s="1" t="s">
        <v>14</v>
      </c>
      <c r="D109" s="1" t="n">
        <v>0.4597</v>
      </c>
      <c r="E109" s="1" t="n">
        <v>0.3574</v>
      </c>
      <c r="F109" s="1" t="n">
        <v>0.4266</v>
      </c>
      <c r="G109" s="1" t="n">
        <v>0.4083</v>
      </c>
      <c r="I109" s="1"/>
      <c r="J109" s="1"/>
      <c r="K109" s="1"/>
      <c r="L109" s="1"/>
      <c r="M109" s="1"/>
      <c r="N109" s="1"/>
    </row>
    <row r="110" customFormat="false" ht="13.8" hidden="false" customHeight="false" outlineLevel="0" collapsed="false">
      <c r="A110" s="1" t="s">
        <v>81</v>
      </c>
      <c r="B110" s="1" t="str">
        <f aca="false">IF(  OR(ISNUMBER(SEARCH("SMOTEENN",A110)),ISNUMBER(SEARCH("SMOTETomek",A110))),  "Hybrid",  IF(   AND(    OR(ISNUMBER(SEARCH("SMOTE",A110)),ISNUMBER(SEARCH("SVMSMOTE",A110)),ISNUMBER(SEARCH("RandomOverSampler",A110)),ISNUMBER(SEARCH("BorderlineSmote",A110))),    OR(ISNUMBER(SEARCH("RandomUnderSampler",A110)),ISNUMBER(SEARCH("ClusterCentroids",A110)),ISNUMBER(SEARCH("OneSidedSelection",A110)))   ),   "Over+Under",   IF(    OR(ISNUMBER(SEARCH("SMOTE",A110)),ISNUMBER(SEARCH("SVMSMOTE",A110)),ISNUMBER(SEARCH("RandomOverSampler",A110)),ISNUMBER(SEARCH("BorderlineSmote",A110))),    "Oversampling",    IF(     OR(ISNUMBER(SEARCH("RandomUnderSampler",A110)),ISNUMBER(SEARCH("ClusterCentroids",A110)),ISNUMBER(SEARCH("OneSidedSelection",A110))),     "Undersampler",     "Czysty"    )   )  ) )</f>
        <v>Oversampling</v>
      </c>
      <c r="C110" s="1" t="s">
        <v>14</v>
      </c>
      <c r="D110" s="1" t="n">
        <v>0.4516</v>
      </c>
      <c r="E110" s="1" t="n">
        <v>0.3401</v>
      </c>
      <c r="F110" s="1" t="n">
        <v>0.4485</v>
      </c>
      <c r="G110" s="1" t="n">
        <v>0.3758</v>
      </c>
      <c r="I110" s="1"/>
      <c r="J110" s="1"/>
      <c r="K110" s="1"/>
      <c r="L110" s="1"/>
      <c r="M110" s="1"/>
      <c r="N110" s="1"/>
    </row>
    <row r="111" customFormat="false" ht="13.8" hidden="false" customHeight="false" outlineLevel="0" collapsed="false">
      <c r="A111" s="1" t="s">
        <v>88</v>
      </c>
      <c r="B111" s="1" t="str">
        <f aca="false">IF(  OR(ISNUMBER(SEARCH("SMOTEENN",A111)),ISNUMBER(SEARCH("SMOTETomek",A111))),  "Hybrid",  IF(   AND(    OR(ISNUMBER(SEARCH("SMOTE",A111)),ISNUMBER(SEARCH("SVMSMOTE",A111)),ISNUMBER(SEARCH("RandomOverSampler",A111)),ISNUMBER(SEARCH("BorderlineSmote",A111))),    OR(ISNUMBER(SEARCH("RandomUnderSampler",A111)),ISNUMBER(SEARCH("ClusterCentroids",A111)),ISNUMBER(SEARCH("OneSidedSelection",A111)))   ),   "Over+Under",   IF(    OR(ISNUMBER(SEARCH("SMOTE",A111)),ISNUMBER(SEARCH("SVMSMOTE",A111)),ISNUMBER(SEARCH("RandomOverSampler",A111)),ISNUMBER(SEARCH("BorderlineSmote",A111))),    "Oversampling",    IF(     OR(ISNUMBER(SEARCH("RandomUnderSampler",A111)),ISNUMBER(SEARCH("ClusterCentroids",A111)),ISNUMBER(SEARCH("OneSidedSelection",A111))),     "Undersampler",     "Czysty"    )   )  ) )</f>
        <v>Over+Under</v>
      </c>
      <c r="C111" s="1" t="s">
        <v>14</v>
      </c>
      <c r="D111" s="1" t="n">
        <v>0.4624</v>
      </c>
      <c r="E111" s="1" t="n">
        <v>0.3388</v>
      </c>
      <c r="F111" s="1" t="n">
        <v>0.3913</v>
      </c>
      <c r="G111" s="1" t="n">
        <v>0.3917</v>
      </c>
      <c r="I111" s="1"/>
      <c r="J111" s="1"/>
      <c r="K111" s="1"/>
      <c r="L111" s="1"/>
      <c r="M111" s="1"/>
      <c r="N111" s="1"/>
    </row>
    <row r="112" customFormat="false" ht="13.8" hidden="false" customHeight="false" outlineLevel="0" collapsed="false">
      <c r="A112" s="1" t="s">
        <v>85</v>
      </c>
      <c r="B112" s="1" t="str">
        <f aca="false">IF(  OR(ISNUMBER(SEARCH("SMOTEENN",A112)),ISNUMBER(SEARCH("SMOTETomek",A112))),  "Hybrid",  IF(   AND(    OR(ISNUMBER(SEARCH("SMOTE",A112)),ISNUMBER(SEARCH("SVMSMOTE",A112)),ISNUMBER(SEARCH("RandomOverSampler",A112)),ISNUMBER(SEARCH("BorderlineSmote",A112))),    OR(ISNUMBER(SEARCH("RandomUnderSampler",A112)),ISNUMBER(SEARCH("ClusterCentroids",A112)),ISNUMBER(SEARCH("OneSidedSelection",A112)))   ),   "Over+Under",   IF(    OR(ISNUMBER(SEARCH("SMOTE",A112)),ISNUMBER(SEARCH("SVMSMOTE",A112)),ISNUMBER(SEARCH("RandomOverSampler",A112)),ISNUMBER(SEARCH("BorderlineSmote",A112))),    "Oversampling",    IF(     OR(ISNUMBER(SEARCH("RandomUnderSampler",A112)),ISNUMBER(SEARCH("ClusterCentroids",A112)),ISNUMBER(SEARCH("OneSidedSelection",A112))),     "Undersampler",     "Czysty"    )   )  ) )</f>
        <v>Over+Under</v>
      </c>
      <c r="C112" s="1" t="s">
        <v>14</v>
      </c>
      <c r="D112" s="1" t="n">
        <v>0.3602</v>
      </c>
      <c r="E112" s="1" t="n">
        <v>0.3311</v>
      </c>
      <c r="F112" s="1" t="n">
        <v>0.5159</v>
      </c>
      <c r="G112" s="1" t="n">
        <v>0.3355</v>
      </c>
      <c r="I112" s="1"/>
      <c r="J112" s="1"/>
      <c r="K112" s="1"/>
      <c r="L112" s="1"/>
      <c r="M112" s="1"/>
      <c r="N112" s="1"/>
    </row>
    <row r="113" customFormat="false" ht="13.8" hidden="false" customHeight="false" outlineLevel="0" collapsed="false">
      <c r="A113" s="1" t="s">
        <v>87</v>
      </c>
      <c r="B113" s="1" t="str">
        <f aca="false">IF(  OR(ISNUMBER(SEARCH("SMOTEENN",A113)),ISNUMBER(SEARCH("SMOTETomek",A113))),  "Hybrid",  IF(   AND(    OR(ISNUMBER(SEARCH("SMOTE",A113)),ISNUMBER(SEARCH("SVMSMOTE",A113)),ISNUMBER(SEARCH("RandomOverSampler",A113)),ISNUMBER(SEARCH("BorderlineSmote",A113))),    OR(ISNUMBER(SEARCH("RandomUnderSampler",A113)),ISNUMBER(SEARCH("ClusterCentroids",A113)),ISNUMBER(SEARCH("OneSidedSelection",A113)))   ),   "Over+Under",   IF(    OR(ISNUMBER(SEARCH("SMOTE",A113)),ISNUMBER(SEARCH("SVMSMOTE",A113)),ISNUMBER(SEARCH("RandomOverSampler",A113)),ISNUMBER(SEARCH("BorderlineSmote",A113))),    "Oversampling",    IF(     OR(ISNUMBER(SEARCH("RandomUnderSampler",A113)),ISNUMBER(SEARCH("ClusterCentroids",A113)),ISNUMBER(SEARCH("OneSidedSelection",A113))),     "Undersampler",     "Czysty"    )   )  ) )</f>
        <v>Hybrid</v>
      </c>
      <c r="C113" s="1" t="s">
        <v>14</v>
      </c>
      <c r="D113" s="1" t="n">
        <v>0.2984</v>
      </c>
      <c r="E113" s="1" t="n">
        <v>0.3084</v>
      </c>
      <c r="F113" s="1" t="n">
        <v>0.433</v>
      </c>
      <c r="G113" s="1" t="n">
        <v>0.4046</v>
      </c>
      <c r="I113" s="1"/>
      <c r="J113" s="1"/>
      <c r="K113" s="1"/>
      <c r="L113" s="1"/>
      <c r="M113" s="1"/>
      <c r="N113" s="1"/>
    </row>
    <row r="114" customFormat="false" ht="13.8" hidden="false" customHeight="false" outlineLevel="0" collapsed="false">
      <c r="A114" s="1" t="s">
        <v>86</v>
      </c>
      <c r="B114" s="1" t="str">
        <f aca="false">IF(  OR(ISNUMBER(SEARCH("SMOTEENN",A114)),ISNUMBER(SEARCH("SMOTETomek",A114))),  "Hybrid",  IF(   AND(    OR(ISNUMBER(SEARCH("SMOTE",A114)),ISNUMBER(SEARCH("SVMSMOTE",A114)),ISNUMBER(SEARCH("RandomOverSampler",A114)),ISNUMBER(SEARCH("BorderlineSmote",A114))),    OR(ISNUMBER(SEARCH("RandomUnderSampler",A114)),ISNUMBER(SEARCH("ClusterCentroids",A114)),ISNUMBER(SEARCH("OneSidedSelection",A114)))   ),   "Over+Under",   IF(    OR(ISNUMBER(SEARCH("SMOTE",A114)),ISNUMBER(SEARCH("SVMSMOTE",A114)),ISNUMBER(SEARCH("RandomOverSampler",A114)),ISNUMBER(SEARCH("BorderlineSmote",A114))),    "Oversampling",    IF(     OR(ISNUMBER(SEARCH("RandomUnderSampler",A114)),ISNUMBER(SEARCH("ClusterCentroids",A114)),ISNUMBER(SEARCH("OneSidedSelection",A114))),     "Undersampler",     "Czysty"    )   )  ) )</f>
        <v>Over+Under</v>
      </c>
      <c r="C114" s="1" t="s">
        <v>14</v>
      </c>
      <c r="D114" s="1" t="n">
        <v>0.3387</v>
      </c>
      <c r="E114" s="1" t="n">
        <v>0.2679</v>
      </c>
      <c r="F114" s="1" t="n">
        <v>0.3402</v>
      </c>
      <c r="G114" s="1" t="n">
        <v>0.3098</v>
      </c>
      <c r="I114" s="1"/>
      <c r="J114" s="1"/>
      <c r="K114" s="1"/>
      <c r="L114" s="1"/>
      <c r="M114" s="1"/>
      <c r="N114" s="1"/>
    </row>
    <row r="115" customFormat="false" ht="13.8" hidden="false" customHeight="false" outlineLevel="0" collapsed="false">
      <c r="A115" s="1" t="s">
        <v>125</v>
      </c>
      <c r="B115" s="1" t="str">
        <f aca="false">IF(  OR(ISNUMBER(SEARCH("SMOTEENN",A115)),ISNUMBER(SEARCH("SMOTETomek",A115))),  "Hybrid",  IF(   AND(    OR(ISNUMBER(SEARCH("SMOTE",A115)),ISNUMBER(SEARCH("SVMSMOTE",A115)),ISNUMBER(SEARCH("RandomOverSampler",A115)),ISNUMBER(SEARCH("BorderlineSmote",A115))),    OR(ISNUMBER(SEARCH("RandomUnderSampler",A115)),ISNUMBER(SEARCH("ClusterCentroids",A115)),ISNUMBER(SEARCH("OneSidedSelection",A115)))   ),   "Over+Under",   IF(    OR(ISNUMBER(SEARCH("SMOTE",A115)),ISNUMBER(SEARCH("SVMSMOTE",A115)),ISNUMBER(SEARCH("RandomOverSampler",A115)),ISNUMBER(SEARCH("BorderlineSmote",A115))),    "Oversampling",    IF(     OR(ISNUMBER(SEARCH("RandomUnderSampler",A115)),ISNUMBER(SEARCH("ClusterCentroids",A115)),ISNUMBER(SEARCH("OneSidedSelection",A115))),     "Undersampler",     "Czysty"    )   )  ) )</f>
        <v>Over+Under</v>
      </c>
      <c r="C115" s="1" t="s">
        <v>14</v>
      </c>
      <c r="D115" s="1" t="n">
        <v>0.3333</v>
      </c>
      <c r="E115" s="1" t="n">
        <v>0.2559</v>
      </c>
      <c r="F115" s="1" t="n">
        <v>0.3769</v>
      </c>
      <c r="G115" s="1" t="n">
        <v>0.2965</v>
      </c>
      <c r="I115" s="1"/>
      <c r="J115" s="1"/>
      <c r="K115" s="1"/>
      <c r="L115" s="1"/>
      <c r="M115" s="1"/>
      <c r="N115" s="1"/>
    </row>
    <row r="116" customFormat="false" ht="13.8" hidden="false" customHeight="false" outlineLevel="0" collapsed="false">
      <c r="A116" s="1" t="s">
        <v>84</v>
      </c>
      <c r="B116" s="1" t="str">
        <f aca="false">IF(  OR(ISNUMBER(SEARCH("SMOTEENN",A116)),ISNUMBER(SEARCH("SMOTETomek",A116))),  "Hybrid",  IF(   AND(    OR(ISNUMBER(SEARCH("SMOTE",A116)),ISNUMBER(SEARCH("SVMSMOTE",A116)),ISNUMBER(SEARCH("RandomOverSampler",A116)),ISNUMBER(SEARCH("BorderlineSmote",A116))),    OR(ISNUMBER(SEARCH("RandomUnderSampler",A116)),ISNUMBER(SEARCH("ClusterCentroids",A116)),ISNUMBER(SEARCH("OneSidedSelection",A116)))   ),   "Over+Under",   IF(    OR(ISNUMBER(SEARCH("SMOTE",A116)),ISNUMBER(SEARCH("SVMSMOTE",A116)),ISNUMBER(SEARCH("RandomOverSampler",A116)),ISNUMBER(SEARCH("BorderlineSmote",A116))),    "Oversampling",    IF(     OR(ISNUMBER(SEARCH("RandomUnderSampler",A116)),ISNUMBER(SEARCH("ClusterCentroids",A116)),ISNUMBER(SEARCH("OneSidedSelection",A116))),     "Undersampler",     "Czysty"    )   )  ) )</f>
        <v>Over+Under</v>
      </c>
      <c r="C116" s="1" t="s">
        <v>14</v>
      </c>
      <c r="D116" s="1" t="n">
        <v>0.3737</v>
      </c>
      <c r="E116" s="1" t="n">
        <v>0.2354</v>
      </c>
      <c r="F116" s="1" t="n">
        <v>0.3162</v>
      </c>
      <c r="G116" s="1" t="n">
        <v>0.2879</v>
      </c>
      <c r="I116" s="1"/>
      <c r="J116" s="1"/>
      <c r="K116" s="1"/>
      <c r="L116" s="1"/>
      <c r="M116" s="1"/>
      <c r="N116" s="1"/>
    </row>
    <row r="117" customFormat="false" ht="13.8" hidden="false" customHeight="false" outlineLevel="0" collapsed="false">
      <c r="A117" s="1" t="s">
        <v>26</v>
      </c>
      <c r="B117" s="1" t="str">
        <f aca="false">IF(  OR(ISNUMBER(SEARCH("SMOTEENN",A117)),ISNUMBER(SEARCH("SMOTETomek",A117))),  "Hybrid",  IF(   AND(    OR(ISNUMBER(SEARCH("SMOTE",A117)),ISNUMBER(SEARCH("SVMSMOTE",A117)),ISNUMBER(SEARCH("RandomOverSampler",A117)),ISNUMBER(SEARCH("BorderlineSmote",A117))),    OR(ISNUMBER(SEARCH("RandomUnderSampler",A117)),ISNUMBER(SEARCH("ClusterCentroids",A117)),ISNUMBER(SEARCH("OneSidedSelection",A117)))   ),   "Over+Under",   IF(    OR(ISNUMBER(SEARCH("SMOTE",A117)),ISNUMBER(SEARCH("SVMSMOTE",A117)),ISNUMBER(SEARCH("RandomOverSampler",A117)),ISNUMBER(SEARCH("BorderlineSmote",A117))),    "Oversampling",    IF(     OR(ISNUMBER(SEARCH("RandomUnderSampler",A117)),ISNUMBER(SEARCH("ClusterCentroids",A117)),ISNUMBER(SEARCH("OneSidedSelection",A117))),     "Undersampler",     "Czysty"    )   )  ) )</f>
        <v>Czysty</v>
      </c>
      <c r="C117" s="1" t="s">
        <v>74</v>
      </c>
      <c r="D117" s="1" t="n">
        <v>0.6694</v>
      </c>
      <c r="E117" s="1" t="n">
        <v>0.6515</v>
      </c>
      <c r="F117" s="1" t="n">
        <v>0.7498</v>
      </c>
      <c r="G117" s="1" t="n">
        <v>0.6632</v>
      </c>
      <c r="I117" s="1"/>
      <c r="J117" s="1"/>
      <c r="K117" s="1"/>
      <c r="L117" s="1"/>
      <c r="M117" s="1"/>
      <c r="N117" s="1"/>
    </row>
    <row r="118" customFormat="false" ht="13.8" hidden="false" customHeight="false" outlineLevel="0" collapsed="false">
      <c r="A118" s="1" t="s">
        <v>123</v>
      </c>
      <c r="B118" s="1" t="str">
        <f aca="false">IF(  OR(ISNUMBER(SEARCH("SMOTEENN",A118)),ISNUMBER(SEARCH("SMOTETomek",A118))),  "Hybrid",  IF(   AND(    OR(ISNUMBER(SEARCH("SMOTE",A118)),ISNUMBER(SEARCH("SVMSMOTE",A118)),ISNUMBER(SEARCH("RandomOverSampler",A118)),ISNUMBER(SEARCH("BorderlineSmote",A118))),    OR(ISNUMBER(SEARCH("RandomUnderSampler",A118)),ISNUMBER(SEARCH("ClusterCentroids",A118)),ISNUMBER(SEARCH("OneSidedSelection",A118)))   ),   "Over+Under",   IF(    OR(ISNUMBER(SEARCH("SMOTE",A118)),ISNUMBER(SEARCH("SVMSMOTE",A118)),ISNUMBER(SEARCH("RandomOverSampler",A118)),ISNUMBER(SEARCH("BorderlineSmote",A118))),    "Oversampling",    IF(     OR(ISNUMBER(SEARCH("RandomUnderSampler",A118)),ISNUMBER(SEARCH("ClusterCentroids",A118)),ISNUMBER(SEARCH("OneSidedSelection",A118))),     "Undersampler",     "Czysty"    )   )  ) )</f>
        <v>Oversampling</v>
      </c>
      <c r="C118" s="1" t="s">
        <v>74</v>
      </c>
      <c r="D118" s="1" t="n">
        <v>0.5323</v>
      </c>
      <c r="E118" s="1" t="n">
        <v>0.4822</v>
      </c>
      <c r="F118" s="1" t="n">
        <v>0.625</v>
      </c>
      <c r="G118" s="1" t="n">
        <v>0.4802</v>
      </c>
      <c r="I118" s="1"/>
      <c r="J118" s="1"/>
      <c r="K118" s="1"/>
      <c r="L118" s="1"/>
      <c r="M118" s="1"/>
      <c r="N118" s="1"/>
    </row>
    <row r="119" customFormat="false" ht="13.8" hidden="false" customHeight="false" outlineLevel="0" collapsed="false">
      <c r="A119" s="1" t="s">
        <v>80</v>
      </c>
      <c r="B119" s="1" t="str">
        <f aca="false">IF(  OR(ISNUMBER(SEARCH("SMOTEENN",A119)),ISNUMBER(SEARCH("SMOTETomek",A119))),  "Hybrid",  IF(   AND(    OR(ISNUMBER(SEARCH("SMOTE",A119)),ISNUMBER(SEARCH("SVMSMOTE",A119)),ISNUMBER(SEARCH("RandomOverSampler",A119)),ISNUMBER(SEARCH("BorderlineSmote",A119))),    OR(ISNUMBER(SEARCH("RandomUnderSampler",A119)),ISNUMBER(SEARCH("ClusterCentroids",A119)),ISNUMBER(SEARCH("OneSidedSelection",A119)))   ),   "Over+Under",   IF(    OR(ISNUMBER(SEARCH("SMOTE",A119)),ISNUMBER(SEARCH("SVMSMOTE",A119)),ISNUMBER(SEARCH("RandomOverSampler",A119)),ISNUMBER(SEARCH("BorderlineSmote",A119))),    "Oversampling",    IF(     OR(ISNUMBER(SEARCH("RandomUnderSampler",A119)),ISNUMBER(SEARCH("ClusterCentroids",A119)),ISNUMBER(SEARCH("OneSidedSelection",A119))),     "Undersampler",     "Czysty"    )   )  ) )</f>
        <v>Hybrid</v>
      </c>
      <c r="C119" s="1" t="s">
        <v>74</v>
      </c>
      <c r="D119" s="1" t="n">
        <v>0.5538</v>
      </c>
      <c r="E119" s="1" t="n">
        <v>0.4781</v>
      </c>
      <c r="F119" s="1" t="n">
        <v>0.6262</v>
      </c>
      <c r="G119" s="1" t="n">
        <v>0.5122</v>
      </c>
      <c r="I119" s="1"/>
      <c r="J119" s="1"/>
      <c r="K119" s="1"/>
      <c r="L119" s="1"/>
      <c r="M119" s="1"/>
      <c r="N119" s="1"/>
    </row>
    <row r="120" customFormat="false" ht="13.8" hidden="false" customHeight="false" outlineLevel="0" collapsed="false">
      <c r="A120" s="1" t="s">
        <v>126</v>
      </c>
      <c r="B120" s="1" t="str">
        <f aca="false">IF(  OR(ISNUMBER(SEARCH("SMOTEENN",A120)),ISNUMBER(SEARCH("SMOTETomek",A120))),  "Hybrid",  IF(   AND(    OR(ISNUMBER(SEARCH("SMOTE",A120)),ISNUMBER(SEARCH("SVMSMOTE",A120)),ISNUMBER(SEARCH("RandomOverSampler",A120)),ISNUMBER(SEARCH("BorderlineSmote",A120))),    OR(ISNUMBER(SEARCH("RandomUnderSampler",A120)),ISNUMBER(SEARCH("ClusterCentroids",A120)),ISNUMBER(SEARCH("OneSidedSelection",A120)))   ),   "Over+Under",   IF(    OR(ISNUMBER(SEARCH("SMOTE",A120)),ISNUMBER(SEARCH("SVMSMOTE",A120)),ISNUMBER(SEARCH("RandomOverSampler",A120)),ISNUMBER(SEARCH("BorderlineSmote",A120))),    "Oversampling",    IF(     OR(ISNUMBER(SEARCH("RandomUnderSampler",A120)),ISNUMBER(SEARCH("ClusterCentroids",A120)),ISNUMBER(SEARCH("OneSidedSelection",A120))),     "Undersampler",     "Czysty"    )   )  ) )</f>
        <v>Oversampling</v>
      </c>
      <c r="C120" s="1" t="s">
        <v>74</v>
      </c>
      <c r="D120" s="1" t="n">
        <v>0.5618</v>
      </c>
      <c r="E120" s="1" t="n">
        <v>0.4527</v>
      </c>
      <c r="F120" s="1" t="n">
        <v>0.4968</v>
      </c>
      <c r="G120" s="1" t="n">
        <v>0.5084</v>
      </c>
      <c r="I120" s="1"/>
      <c r="J120" s="1"/>
      <c r="K120" s="1"/>
      <c r="L120" s="1"/>
      <c r="M120" s="1"/>
      <c r="N120" s="1"/>
    </row>
    <row r="121" customFormat="false" ht="13.8" hidden="false" customHeight="false" outlineLevel="0" collapsed="false">
      <c r="A121" s="1" t="s">
        <v>79</v>
      </c>
      <c r="B121" s="1" t="str">
        <f aca="false">IF(  OR(ISNUMBER(SEARCH("SMOTEENN",A121)),ISNUMBER(SEARCH("SMOTETomek",A121))),  "Hybrid",  IF(   AND(    OR(ISNUMBER(SEARCH("SMOTE",A121)),ISNUMBER(SEARCH("SVMSMOTE",A121)),ISNUMBER(SEARCH("RandomOverSampler",A121)),ISNUMBER(SEARCH("BorderlineSmote",A121))),    OR(ISNUMBER(SEARCH("RandomUnderSampler",A121)),ISNUMBER(SEARCH("ClusterCentroids",A121)),ISNUMBER(SEARCH("OneSidedSelection",A121)))   ),   "Over+Under",   IF(    OR(ISNUMBER(SEARCH("SMOTE",A121)),ISNUMBER(SEARCH("SVMSMOTE",A121)),ISNUMBER(SEARCH("RandomOverSampler",A121)),ISNUMBER(SEARCH("BorderlineSmote",A121))),    "Oversampling",    IF(     OR(ISNUMBER(SEARCH("RandomUnderSampler",A121)),ISNUMBER(SEARCH("ClusterCentroids",A121)),ISNUMBER(SEARCH("OneSidedSelection",A121))),     "Undersampler",     "Czysty"    )   )  ) )</f>
        <v>Oversampling</v>
      </c>
      <c r="C121" s="1" t="s">
        <v>74</v>
      </c>
      <c r="D121" s="1" t="n">
        <v>0.4892</v>
      </c>
      <c r="E121" s="1" t="n">
        <v>0.4494</v>
      </c>
      <c r="F121" s="1" t="n">
        <v>0.5553</v>
      </c>
      <c r="G121" s="1" t="n">
        <v>0.4685</v>
      </c>
      <c r="I121" s="1"/>
      <c r="J121" s="1"/>
      <c r="K121" s="1"/>
      <c r="L121" s="1"/>
      <c r="M121" s="1"/>
      <c r="N121" s="1"/>
    </row>
    <row r="122" customFormat="false" ht="13.8" hidden="false" customHeight="false" outlineLevel="0" collapsed="false">
      <c r="A122" s="1" t="s">
        <v>81</v>
      </c>
      <c r="B122" s="1" t="str">
        <f aca="false">IF(  OR(ISNUMBER(SEARCH("SMOTEENN",A122)),ISNUMBER(SEARCH("SMOTETomek",A122))),  "Hybrid",  IF(   AND(    OR(ISNUMBER(SEARCH("SMOTE",A122)),ISNUMBER(SEARCH("SVMSMOTE",A122)),ISNUMBER(SEARCH("RandomOverSampler",A122)),ISNUMBER(SEARCH("BorderlineSmote",A122))),    OR(ISNUMBER(SEARCH("RandomUnderSampler",A122)),ISNUMBER(SEARCH("ClusterCentroids",A122)),ISNUMBER(SEARCH("OneSidedSelection",A122)))   ),   "Over+Under",   IF(    OR(ISNUMBER(SEARCH("SMOTE",A122)),ISNUMBER(SEARCH("SVMSMOTE",A122)),ISNUMBER(SEARCH("RandomOverSampler",A122)),ISNUMBER(SEARCH("BorderlineSmote",A122))),    "Oversampling",    IF(     OR(ISNUMBER(SEARCH("RandomUnderSampler",A122)),ISNUMBER(SEARCH("ClusterCentroids",A122)),ISNUMBER(SEARCH("OneSidedSelection",A122))),     "Undersampler",     "Czysty"    )   )  ) )</f>
        <v>Oversampling</v>
      </c>
      <c r="C122" s="1" t="s">
        <v>74</v>
      </c>
      <c r="D122" s="1" t="n">
        <v>0.4973</v>
      </c>
      <c r="E122" s="1" t="n">
        <v>0.443</v>
      </c>
      <c r="F122" s="1" t="n">
        <v>0.5292</v>
      </c>
      <c r="G122" s="1" t="n">
        <v>0.4721</v>
      </c>
      <c r="I122" s="1"/>
      <c r="J122" s="1"/>
      <c r="K122" s="1"/>
      <c r="L122" s="1"/>
      <c r="M122" s="1"/>
      <c r="N122" s="1"/>
    </row>
    <row r="123" customFormat="false" ht="13.8" hidden="false" customHeight="false" outlineLevel="0" collapsed="false">
      <c r="A123" s="1" t="s">
        <v>85</v>
      </c>
      <c r="B123" s="1" t="str">
        <f aca="false">IF(  OR(ISNUMBER(SEARCH("SMOTEENN",A123)),ISNUMBER(SEARCH("SMOTETomek",A123))),  "Hybrid",  IF(   AND(    OR(ISNUMBER(SEARCH("SMOTE",A123)),ISNUMBER(SEARCH("SVMSMOTE",A123)),ISNUMBER(SEARCH("RandomOverSampler",A123)),ISNUMBER(SEARCH("BorderlineSmote",A123))),    OR(ISNUMBER(SEARCH("RandomUnderSampler",A123)),ISNUMBER(SEARCH("ClusterCentroids",A123)),ISNUMBER(SEARCH("OneSidedSelection",A123)))   ),   "Over+Under",   IF(    OR(ISNUMBER(SEARCH("SMOTE",A123)),ISNUMBER(SEARCH("SVMSMOTE",A123)),ISNUMBER(SEARCH("RandomOverSampler",A123)),ISNUMBER(SEARCH("BorderlineSmote",A123))),    "Oversampling",    IF(     OR(ISNUMBER(SEARCH("RandomUnderSampler",A123)),ISNUMBER(SEARCH("ClusterCentroids",A123)),ISNUMBER(SEARCH("OneSidedSelection",A123))),     "Undersampler",     "Czysty"    )   )  ) )</f>
        <v>Over+Under</v>
      </c>
      <c r="C123" s="1" t="s">
        <v>74</v>
      </c>
      <c r="D123" s="1" t="n">
        <v>0.4516</v>
      </c>
      <c r="E123" s="1" t="n">
        <v>0.4348</v>
      </c>
      <c r="F123" s="1" t="n">
        <v>0.585</v>
      </c>
      <c r="G123" s="1" t="n">
        <v>0.4494</v>
      </c>
      <c r="I123" s="1"/>
      <c r="J123" s="1"/>
      <c r="K123" s="1"/>
      <c r="L123" s="1"/>
      <c r="M123" s="1"/>
      <c r="N123" s="1"/>
    </row>
    <row r="124" customFormat="false" ht="13.8" hidden="false" customHeight="false" outlineLevel="0" collapsed="false">
      <c r="A124" s="1" t="s">
        <v>83</v>
      </c>
      <c r="B124" s="1" t="str">
        <f aca="false">IF(  OR(ISNUMBER(SEARCH("SMOTEENN",A124)),ISNUMBER(SEARCH("SMOTETomek",A124))),  "Hybrid",  IF(   AND(    OR(ISNUMBER(SEARCH("SMOTE",A124)),ISNUMBER(SEARCH("SVMSMOTE",A124)),ISNUMBER(SEARCH("RandomOverSampler",A124)),ISNUMBER(SEARCH("BorderlineSmote",A124))),    OR(ISNUMBER(SEARCH("RandomUnderSampler",A124)),ISNUMBER(SEARCH("ClusterCentroids",A124)),ISNUMBER(SEARCH("OneSidedSelection",A124)))   ),   "Over+Under",   IF(    OR(ISNUMBER(SEARCH("SMOTE",A124)),ISNUMBER(SEARCH("SVMSMOTE",A124)),ISNUMBER(SEARCH("RandomOverSampler",A124)),ISNUMBER(SEARCH("BorderlineSmote",A124))),    "Oversampling",    IF(     OR(ISNUMBER(SEARCH("RandomUnderSampler",A124)),ISNUMBER(SEARCH("ClusterCentroids",A124)),ISNUMBER(SEARCH("OneSidedSelection",A124))),     "Undersampler",     "Czysty"    )   )  ) )</f>
        <v>Over+Under</v>
      </c>
      <c r="C124" s="1" t="s">
        <v>74</v>
      </c>
      <c r="D124" s="1" t="n">
        <v>0.4194</v>
      </c>
      <c r="E124" s="1" t="n">
        <v>0.4133</v>
      </c>
      <c r="F124" s="1" t="n">
        <v>0.5733</v>
      </c>
      <c r="G124" s="1" t="n">
        <v>0.4178</v>
      </c>
      <c r="I124" s="1"/>
      <c r="J124" s="1"/>
      <c r="K124" s="1"/>
      <c r="L124" s="1"/>
      <c r="M124" s="1"/>
      <c r="N124" s="1"/>
    </row>
    <row r="125" customFormat="false" ht="13.8" hidden="false" customHeight="false" outlineLevel="0" collapsed="false">
      <c r="A125" s="1" t="s">
        <v>124</v>
      </c>
      <c r="B125" s="1" t="str">
        <f aca="false">IF(  OR(ISNUMBER(SEARCH("SMOTEENN",A125)),ISNUMBER(SEARCH("SMOTETomek",A125))),  "Hybrid",  IF(   AND(    OR(ISNUMBER(SEARCH("SMOTE",A125)),ISNUMBER(SEARCH("SVMSMOTE",A125)),ISNUMBER(SEARCH("RandomOverSampler",A125)),ISNUMBER(SEARCH("BorderlineSmote",A125))),    OR(ISNUMBER(SEARCH("RandomUnderSampler",A125)),ISNUMBER(SEARCH("ClusterCentroids",A125)),ISNUMBER(SEARCH("OneSidedSelection",A125)))   ),   "Over+Under",   IF(    OR(ISNUMBER(SEARCH("SMOTE",A125)),ISNUMBER(SEARCH("SVMSMOTE",A125)),ISNUMBER(SEARCH("RandomOverSampler",A125)),ISNUMBER(SEARCH("BorderlineSmote",A125))),    "Oversampling",    IF(     OR(ISNUMBER(SEARCH("RandomUnderSampler",A125)),ISNUMBER(SEARCH("ClusterCentroids",A125)),ISNUMBER(SEARCH("OneSidedSelection",A125))),     "Undersampler",     "Czysty"    )   )  ) )</f>
        <v>Over+Under</v>
      </c>
      <c r="C125" s="1" t="s">
        <v>74</v>
      </c>
      <c r="D125" s="1" t="n">
        <v>0.4597</v>
      </c>
      <c r="E125" s="1" t="n">
        <v>0.4066</v>
      </c>
      <c r="F125" s="1" t="n">
        <v>0.5201</v>
      </c>
      <c r="G125" s="1" t="n">
        <v>0.4273</v>
      </c>
      <c r="I125" s="1"/>
      <c r="J125" s="1"/>
      <c r="K125" s="1"/>
      <c r="L125" s="1"/>
      <c r="M125" s="1"/>
      <c r="N125" s="1"/>
    </row>
    <row r="126" customFormat="false" ht="13.8" hidden="false" customHeight="false" outlineLevel="0" collapsed="false">
      <c r="A126" s="1" t="s">
        <v>86</v>
      </c>
      <c r="B126" s="1" t="str">
        <f aca="false">IF(  OR(ISNUMBER(SEARCH("SMOTEENN",A126)),ISNUMBER(SEARCH("SMOTETomek",A126))),  "Hybrid",  IF(   AND(    OR(ISNUMBER(SEARCH("SMOTE",A126)),ISNUMBER(SEARCH("SVMSMOTE",A126)),ISNUMBER(SEARCH("RandomOverSampler",A126)),ISNUMBER(SEARCH("BorderlineSmote",A126))),    OR(ISNUMBER(SEARCH("RandomUnderSampler",A126)),ISNUMBER(SEARCH("ClusterCentroids",A126)),ISNUMBER(SEARCH("OneSidedSelection",A126)))   ),   "Over+Under",   IF(    OR(ISNUMBER(SEARCH("SMOTE",A126)),ISNUMBER(SEARCH("SVMSMOTE",A126)),ISNUMBER(SEARCH("RandomOverSampler",A126)),ISNUMBER(SEARCH("BorderlineSmote",A126))),    "Oversampling",    IF(     OR(ISNUMBER(SEARCH("RandomUnderSampler",A126)),ISNUMBER(SEARCH("ClusterCentroids",A126)),ISNUMBER(SEARCH("OneSidedSelection",A126))),     "Undersampler",     "Czysty"    )   )  ) )</f>
        <v>Over+Under</v>
      </c>
      <c r="C126" s="1" t="s">
        <v>74</v>
      </c>
      <c r="D126" s="1" t="n">
        <v>0.4355</v>
      </c>
      <c r="E126" s="1" t="n">
        <v>0.3832</v>
      </c>
      <c r="F126" s="1" t="n">
        <v>0.5071</v>
      </c>
      <c r="G126" s="1" t="n">
        <v>0.3843</v>
      </c>
      <c r="I126" s="1"/>
      <c r="J126" s="1"/>
      <c r="K126" s="1"/>
      <c r="L126" s="1"/>
      <c r="M126" s="1"/>
      <c r="N126" s="1"/>
    </row>
    <row r="127" customFormat="false" ht="13.8" hidden="false" customHeight="false" outlineLevel="0" collapsed="false">
      <c r="A127" s="1" t="s">
        <v>125</v>
      </c>
      <c r="B127" s="1" t="str">
        <f aca="false">IF(  OR(ISNUMBER(SEARCH("SMOTEENN",A127)),ISNUMBER(SEARCH("SMOTETomek",A127))),  "Hybrid",  IF(   AND(    OR(ISNUMBER(SEARCH("SMOTE",A127)),ISNUMBER(SEARCH("SVMSMOTE",A127)),ISNUMBER(SEARCH("RandomOverSampler",A127)),ISNUMBER(SEARCH("BorderlineSmote",A127))),    OR(ISNUMBER(SEARCH("RandomUnderSampler",A127)),ISNUMBER(SEARCH("ClusterCentroids",A127)),ISNUMBER(SEARCH("OneSidedSelection",A127)))   ),   "Over+Under",   IF(    OR(ISNUMBER(SEARCH("SMOTE",A127)),ISNUMBER(SEARCH("SVMSMOTE",A127)),ISNUMBER(SEARCH("RandomOverSampler",A127)),ISNUMBER(SEARCH("BorderlineSmote",A127))),    "Oversampling",    IF(     OR(ISNUMBER(SEARCH("RandomUnderSampler",A127)),ISNUMBER(SEARCH("ClusterCentroids",A127)),ISNUMBER(SEARCH("OneSidedSelection",A127))),     "Undersampler",     "Czysty"    )   )  ) )</f>
        <v>Over+Under</v>
      </c>
      <c r="C127" s="1" t="s">
        <v>74</v>
      </c>
      <c r="D127" s="1" t="n">
        <v>0.4113</v>
      </c>
      <c r="E127" s="1" t="n">
        <v>0.3657</v>
      </c>
      <c r="F127" s="1" t="n">
        <v>0.4481</v>
      </c>
      <c r="G127" s="1" t="n">
        <v>0.3816</v>
      </c>
      <c r="I127" s="1"/>
      <c r="J127" s="1"/>
      <c r="K127" s="1"/>
      <c r="L127" s="1"/>
      <c r="M127" s="1"/>
      <c r="N127" s="1"/>
    </row>
    <row r="128" customFormat="false" ht="13.8" hidden="false" customHeight="false" outlineLevel="0" collapsed="false">
      <c r="A128" s="1" t="s">
        <v>82</v>
      </c>
      <c r="B128" s="1" t="str">
        <f aca="false">IF(  OR(ISNUMBER(SEARCH("SMOTEENN",A128)),ISNUMBER(SEARCH("SMOTETomek",A128))),  "Hybrid",  IF(   AND(    OR(ISNUMBER(SEARCH("SMOTE",A128)),ISNUMBER(SEARCH("SVMSMOTE",A128)),ISNUMBER(SEARCH("RandomOverSampler",A128)),ISNUMBER(SEARCH("BorderlineSmote",A128))),    OR(ISNUMBER(SEARCH("RandomUnderSampler",A128)),ISNUMBER(SEARCH("ClusterCentroids",A128)),ISNUMBER(SEARCH("OneSidedSelection",A128)))   ),   "Over+Under",   IF(    OR(ISNUMBER(SEARCH("SMOTE",A128)),ISNUMBER(SEARCH("SVMSMOTE",A128)),ISNUMBER(SEARCH("RandomOverSampler",A128)),ISNUMBER(SEARCH("BorderlineSmote",A128))),    "Oversampling",    IF(     OR(ISNUMBER(SEARCH("RandomUnderSampler",A128)),ISNUMBER(SEARCH("ClusterCentroids",A128)),ISNUMBER(SEARCH("OneSidedSelection",A128))),     "Undersampler",     "Czysty"    )   )  ) )</f>
        <v>Over+Under</v>
      </c>
      <c r="C128" s="1" t="s">
        <v>74</v>
      </c>
      <c r="D128" s="1" t="n">
        <v>0.4382</v>
      </c>
      <c r="E128" s="1" t="n">
        <v>0.3633</v>
      </c>
      <c r="F128" s="1" t="n">
        <v>0.4835</v>
      </c>
      <c r="G128" s="1" t="n">
        <v>0.3948</v>
      </c>
      <c r="I128" s="1"/>
      <c r="J128" s="1"/>
      <c r="K128" s="1"/>
      <c r="L128" s="1"/>
      <c r="M128" s="1"/>
      <c r="N128" s="1"/>
    </row>
    <row r="129" customFormat="false" ht="13.8" hidden="false" customHeight="false" outlineLevel="0" collapsed="false">
      <c r="A129" s="1" t="s">
        <v>88</v>
      </c>
      <c r="B129" s="1" t="str">
        <f aca="false">IF(  OR(ISNUMBER(SEARCH("SMOTEENN",A129)),ISNUMBER(SEARCH("SMOTETomek",A129))),  "Hybrid",  IF(   AND(    OR(ISNUMBER(SEARCH("SMOTE",A129)),ISNUMBER(SEARCH("SVMSMOTE",A129)),ISNUMBER(SEARCH("RandomOverSampler",A129)),ISNUMBER(SEARCH("BorderlineSmote",A129))),    OR(ISNUMBER(SEARCH("RandomUnderSampler",A129)),ISNUMBER(SEARCH("ClusterCentroids",A129)),ISNUMBER(SEARCH("OneSidedSelection",A129)))   ),   "Over+Under",   IF(    OR(ISNUMBER(SEARCH("SMOTE",A129)),ISNUMBER(SEARCH("SVMSMOTE",A129)),ISNUMBER(SEARCH("RandomOverSampler",A129)),ISNUMBER(SEARCH("BorderlineSmote",A129))),    "Oversampling",    IF(     OR(ISNUMBER(SEARCH("RandomUnderSampler",A129)),ISNUMBER(SEARCH("ClusterCentroids",A129)),ISNUMBER(SEARCH("OneSidedSelection",A129))),     "Undersampler",     "Czysty"    )   )  ) )</f>
        <v>Over+Under</v>
      </c>
      <c r="C129" s="1" t="s">
        <v>74</v>
      </c>
      <c r="D129" s="1" t="n">
        <v>0.4812</v>
      </c>
      <c r="E129" s="1" t="n">
        <v>0.3286</v>
      </c>
      <c r="F129" s="1" t="n">
        <v>0.3748</v>
      </c>
      <c r="G129" s="1" t="n">
        <v>0.3889</v>
      </c>
      <c r="I129" s="1"/>
      <c r="J129" s="1"/>
      <c r="K129" s="1"/>
      <c r="L129" s="1"/>
      <c r="M129" s="1"/>
      <c r="N129" s="1"/>
    </row>
    <row r="130" customFormat="false" ht="13.8" hidden="false" customHeight="false" outlineLevel="0" collapsed="false">
      <c r="A130" s="1" t="s">
        <v>87</v>
      </c>
      <c r="B130" s="1" t="str">
        <f aca="false">IF(  OR(ISNUMBER(SEARCH("SMOTEENN",A130)),ISNUMBER(SEARCH("SMOTETomek",A130))),  "Hybrid",  IF(   AND(    OR(ISNUMBER(SEARCH("SMOTE",A130)),ISNUMBER(SEARCH("SVMSMOTE",A130)),ISNUMBER(SEARCH("RandomOverSampler",A130)),ISNUMBER(SEARCH("BorderlineSmote",A130))),    OR(ISNUMBER(SEARCH("RandomUnderSampler",A130)),ISNUMBER(SEARCH("ClusterCentroids",A130)),ISNUMBER(SEARCH("OneSidedSelection",A130)))   ),   "Over+Under",   IF(    OR(ISNUMBER(SEARCH("SMOTE",A130)),ISNUMBER(SEARCH("SVMSMOTE",A130)),ISNUMBER(SEARCH("RandomOverSampler",A130)),ISNUMBER(SEARCH("BorderlineSmote",A130))),    "Oversampling",    IF(     OR(ISNUMBER(SEARCH("RandomUnderSampler",A130)),ISNUMBER(SEARCH("ClusterCentroids",A130)),ISNUMBER(SEARCH("OneSidedSelection",A130))),     "Undersampler",     "Czysty"    )   )  ) )</f>
        <v>Hybrid</v>
      </c>
      <c r="C130" s="1" t="s">
        <v>74</v>
      </c>
      <c r="D130" s="1" t="n">
        <v>0.3038</v>
      </c>
      <c r="E130" s="1" t="n">
        <v>0.3213</v>
      </c>
      <c r="F130" s="1" t="n">
        <v>0.4933</v>
      </c>
      <c r="G130" s="1" t="n">
        <v>0.4229</v>
      </c>
      <c r="I130" s="1"/>
      <c r="J130" s="1"/>
      <c r="K130" s="1"/>
      <c r="L130" s="1"/>
      <c r="M130" s="1"/>
      <c r="N130" s="1"/>
    </row>
    <row r="131" customFormat="false" ht="13.8" hidden="false" customHeight="false" outlineLevel="0" collapsed="false">
      <c r="A131" s="1" t="s">
        <v>84</v>
      </c>
      <c r="B131" s="1" t="str">
        <f aca="false">IF(  OR(ISNUMBER(SEARCH("SMOTEENN",A131)),ISNUMBER(SEARCH("SMOTETomek",A131))),  "Hybrid",  IF(   AND(    OR(ISNUMBER(SEARCH("SMOTE",A131)),ISNUMBER(SEARCH("SVMSMOTE",A131)),ISNUMBER(SEARCH("RandomOverSampler",A131)),ISNUMBER(SEARCH("BorderlineSmote",A131))),    OR(ISNUMBER(SEARCH("RandomUnderSampler",A131)),ISNUMBER(SEARCH("ClusterCentroids",A131)),ISNUMBER(SEARCH("OneSidedSelection",A131)))   ),   "Over+Under",   IF(    OR(ISNUMBER(SEARCH("SMOTE",A131)),ISNUMBER(SEARCH("SVMSMOTE",A131)),ISNUMBER(SEARCH("RandomOverSampler",A131)),ISNUMBER(SEARCH("BorderlineSmote",A131))),    "Oversampling",    IF(     OR(ISNUMBER(SEARCH("RandomUnderSampler",A131)),ISNUMBER(SEARCH("ClusterCentroids",A131)),ISNUMBER(SEARCH("OneSidedSelection",A131))),     "Undersampler",     "Czysty"    )   )  ) )</f>
        <v>Over+Under</v>
      </c>
      <c r="C131" s="1" t="s">
        <v>74</v>
      </c>
      <c r="D131" s="1" t="n">
        <v>0.3737</v>
      </c>
      <c r="E131" s="1" t="n">
        <v>0.2613</v>
      </c>
      <c r="F131" s="1" t="n">
        <v>0.41</v>
      </c>
      <c r="G131" s="1" t="n">
        <v>0.3014</v>
      </c>
      <c r="I131" s="1"/>
      <c r="J131" s="1"/>
      <c r="K131" s="1"/>
      <c r="L131" s="1"/>
      <c r="M131" s="1"/>
      <c r="N131" s="1"/>
    </row>
    <row r="135" customFormat="false" ht="13.8" hidden="false" customHeight="false" outlineLevel="0" collapsed="false">
      <c r="D135" s="4" t="s">
        <v>6</v>
      </c>
      <c r="E135" s="4" t="s">
        <v>127</v>
      </c>
      <c r="F135" s="4" t="s">
        <v>9</v>
      </c>
      <c r="G135" s="4" t="s">
        <v>10</v>
      </c>
    </row>
    <row r="136" customFormat="false" ht="13.8" hidden="false" customHeight="false" outlineLevel="0" collapsed="false">
      <c r="A136" s="1" t="s">
        <v>75</v>
      </c>
      <c r="D136" s="1" t="n">
        <f aca="false">ROUND(STDEV(D3:D17, D36:D50, D69:D83, D102:D116), 5)</f>
        <v>0.1925</v>
      </c>
      <c r="E136" s="1" t="n">
        <f aca="false">ROUND(STDEV(E3:E17, E36:E50, E69:E83, E102:E116), 5)</f>
        <v>0.23999</v>
      </c>
      <c r="F136" s="1" t="n">
        <f aca="false">ROUND(STDEV(F3:F17, F36:F50, F69:F83, F102:F116), 5)</f>
        <v>0.23945</v>
      </c>
      <c r="G136" s="1" t="n">
        <f aca="false">ROUND(STDEV(G3:G17, G36:G50, G69:G83, G102:G116), 5)</f>
        <v>0.21054</v>
      </c>
    </row>
    <row r="137" customFormat="false" ht="13.8" hidden="false" customHeight="false" outlineLevel="0" collapsed="false">
      <c r="A137" s="1" t="s">
        <v>76</v>
      </c>
      <c r="D137" s="1" t="n">
        <f aca="false">ROUND(STDEV(D18:D32, D51:D65, D84:D98, D117:D131), 5)</f>
        <v>0.18288</v>
      </c>
      <c r="E137" s="1" t="n">
        <f aca="false">ROUND(STDEV(E18:E32, E51:E65, E84:E98, E117:E131), 5)</f>
        <v>0.23148</v>
      </c>
      <c r="F137" s="1" t="n">
        <f aca="false">ROUND(STDEV(F18:F32, F51:F65, F84:F98, F117:F131), 5)</f>
        <v>0.23046</v>
      </c>
      <c r="G137" s="1" t="n">
        <f aca="false">ROUND(STDEV(G18:G32, G51:G65, G84:G98, G117:G131), 5)</f>
        <v>0.20269</v>
      </c>
    </row>
  </sheetData>
  <mergeCells count="4">
    <mergeCell ref="A1:G1"/>
    <mergeCell ref="A34:G34"/>
    <mergeCell ref="A67:G67"/>
    <mergeCell ref="A100:G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98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15" hidden="false" customHeight="false" outlineLevel="0" collapsed="false">
      <c r="A4" s="1" t="s">
        <v>15</v>
      </c>
      <c r="B4" s="1" t="s">
        <v>1</v>
      </c>
      <c r="C4" s="1" t="s">
        <v>13</v>
      </c>
      <c r="D4" s="1" t="s">
        <v>14</v>
      </c>
      <c r="E4" s="1" t="n">
        <v>0.625396825396826</v>
      </c>
      <c r="F4" s="1" t="n">
        <v>0.589033639582735</v>
      </c>
      <c r="G4" s="1" t="n">
        <v>0.630051000978767</v>
      </c>
      <c r="H4" s="1" t="n">
        <v>0.738114875447289</v>
      </c>
      <c r="I4" s="1" t="n">
        <v>0.589033639582735</v>
      </c>
      <c r="J4" s="1" t="n">
        <v>0.0600413246469207</v>
      </c>
    </row>
    <row r="5" customFormat="false" ht="15" hidden="false" customHeight="false" outlineLevel="0" collapsed="false">
      <c r="A5" s="1" t="s">
        <v>24</v>
      </c>
      <c r="B5" s="1" t="s">
        <v>23</v>
      </c>
      <c r="C5" s="1" t="s">
        <v>13</v>
      </c>
      <c r="D5" s="1" t="s">
        <v>14</v>
      </c>
      <c r="E5" s="1" t="n">
        <v>0.612698412698413</v>
      </c>
      <c r="F5" s="1" t="n">
        <v>0.643117762465308</v>
      </c>
      <c r="G5" s="1" t="n">
        <v>0.649574885522243</v>
      </c>
      <c r="H5" s="1" t="n">
        <v>0.666394552024861</v>
      </c>
      <c r="I5" s="1" t="n">
        <v>0.643117762465308</v>
      </c>
      <c r="J5" s="1" t="n">
        <v>0.0901927910068335</v>
      </c>
    </row>
    <row r="6" customFormat="false" ht="15" hidden="false" customHeight="false" outlineLevel="0" collapsed="false">
      <c r="A6" s="1" t="s">
        <v>70</v>
      </c>
      <c r="B6" s="1" t="s">
        <v>1</v>
      </c>
      <c r="C6" s="1" t="s">
        <v>13</v>
      </c>
      <c r="D6" s="1" t="s">
        <v>14</v>
      </c>
      <c r="E6" s="1" t="n">
        <v>0.6</v>
      </c>
      <c r="F6" s="1" t="n">
        <v>0.617266006316394</v>
      </c>
      <c r="G6" s="1" t="n">
        <v>0.648296672281594</v>
      </c>
      <c r="H6" s="1" t="n">
        <v>0.705487114595061</v>
      </c>
      <c r="I6" s="1" t="n">
        <v>0.617266006316394</v>
      </c>
      <c r="J6" s="1" t="n">
        <v>0.0428154589590115</v>
      </c>
    </row>
    <row r="7" customFormat="false" ht="15" hidden="false" customHeight="false" outlineLevel="0" collapsed="false">
      <c r="A7" s="1" t="s">
        <v>65</v>
      </c>
      <c r="B7" s="1" t="s">
        <v>17</v>
      </c>
      <c r="C7" s="1" t="s">
        <v>13</v>
      </c>
      <c r="D7" s="1" t="s">
        <v>14</v>
      </c>
      <c r="E7" s="1" t="n">
        <v>0.6</v>
      </c>
      <c r="F7" s="1" t="n">
        <v>0.64921284333429</v>
      </c>
      <c r="G7" s="1" t="n">
        <v>0.656783894673305</v>
      </c>
      <c r="H7" s="1" t="n">
        <v>0.669518527180576</v>
      </c>
      <c r="I7" s="1" t="n">
        <v>0.64921284333429</v>
      </c>
      <c r="J7" s="1" t="n">
        <v>0.032201788600135</v>
      </c>
    </row>
    <row r="8" customFormat="false" ht="15" hidden="false" customHeight="false" outlineLevel="0" collapsed="false">
      <c r="A8" s="1" t="s">
        <v>34</v>
      </c>
      <c r="B8" s="1" t="s">
        <v>17</v>
      </c>
      <c r="C8" s="1" t="s">
        <v>13</v>
      </c>
      <c r="D8" s="1" t="s">
        <v>14</v>
      </c>
      <c r="E8" s="1" t="n">
        <v>0.598412698412698</v>
      </c>
      <c r="F8" s="1" t="n">
        <v>0.6058474495167</v>
      </c>
      <c r="G8" s="1" t="n">
        <v>0.592143983815417</v>
      </c>
      <c r="H8" s="1" t="n">
        <v>0.628313323061508</v>
      </c>
      <c r="I8" s="1" t="n">
        <v>0.6058474495167</v>
      </c>
      <c r="J8" s="1" t="n">
        <v>0.111699562820303</v>
      </c>
    </row>
    <row r="9" customFormat="false" ht="15" hidden="false" customHeight="false" outlineLevel="0" collapsed="false">
      <c r="A9" s="1" t="s">
        <v>17</v>
      </c>
      <c r="B9" s="1" t="s">
        <v>17</v>
      </c>
      <c r="C9" s="1" t="s">
        <v>18</v>
      </c>
      <c r="D9" s="1" t="s">
        <v>14</v>
      </c>
      <c r="E9" s="1" t="n">
        <v>0.592063492063492</v>
      </c>
      <c r="F9" s="1" t="n">
        <v>0.529566226433152</v>
      </c>
      <c r="G9" s="1" t="n">
        <v>0.556524553484026</v>
      </c>
      <c r="H9" s="1" t="n">
        <v>0.637103220888243</v>
      </c>
      <c r="I9" s="1" t="n">
        <v>0.529566226433152</v>
      </c>
      <c r="J9" s="1" t="n">
        <v>0.0970758075209555</v>
      </c>
    </row>
    <row r="10" customFormat="false" ht="15" hidden="false" customHeight="false" outlineLevel="0" collapsed="false">
      <c r="A10" s="1" t="s">
        <v>12</v>
      </c>
      <c r="B10" s="1" t="s">
        <v>1</v>
      </c>
      <c r="C10" s="1" t="s">
        <v>13</v>
      </c>
      <c r="D10" s="1" t="s">
        <v>14</v>
      </c>
      <c r="E10" s="1" t="n">
        <v>0.590476190476191</v>
      </c>
      <c r="F10" s="1" t="n">
        <v>0.594662168628577</v>
      </c>
      <c r="G10" s="1" t="n">
        <v>0.630997082568217</v>
      </c>
      <c r="H10" s="1" t="n">
        <v>0.71000070853912</v>
      </c>
      <c r="I10" s="1" t="n">
        <v>0.594662168628577</v>
      </c>
      <c r="J10" s="1" t="n">
        <v>0.0567578611353072</v>
      </c>
    </row>
    <row r="11" customFormat="false" ht="15" hidden="false" customHeight="false" outlineLevel="0" collapsed="false">
      <c r="A11" s="1" t="s">
        <v>68</v>
      </c>
      <c r="B11" s="1" t="s">
        <v>17</v>
      </c>
      <c r="C11" s="1" t="s">
        <v>13</v>
      </c>
      <c r="D11" s="1" t="s">
        <v>14</v>
      </c>
      <c r="E11" s="1" t="n">
        <v>0.587301587301587</v>
      </c>
      <c r="F11" s="1" t="n">
        <v>0.573679299454493</v>
      </c>
      <c r="G11" s="1" t="n">
        <v>0.60380848215171</v>
      </c>
      <c r="H11" s="1" t="n">
        <v>0.68902645678201</v>
      </c>
      <c r="I11" s="1" t="n">
        <v>0.573679299454493</v>
      </c>
      <c r="J11" s="1" t="n">
        <v>0.0490328553357174</v>
      </c>
    </row>
    <row r="12" customFormat="false" ht="15" hidden="false" customHeight="false" outlineLevel="0" collapsed="false">
      <c r="A12" s="1" t="s">
        <v>20</v>
      </c>
      <c r="B12" s="1" t="s">
        <v>17</v>
      </c>
      <c r="C12" s="1" t="s">
        <v>13</v>
      </c>
      <c r="D12" s="1" t="s">
        <v>14</v>
      </c>
      <c r="E12" s="1" t="n">
        <v>0.584126984126984</v>
      </c>
      <c r="F12" s="1" t="n">
        <v>0.608820222030816</v>
      </c>
      <c r="G12" s="1" t="n">
        <v>0.627085196744594</v>
      </c>
      <c r="H12" s="1" t="n">
        <v>0.66968854663687</v>
      </c>
      <c r="I12" s="1" t="n">
        <v>0.608820222030816</v>
      </c>
      <c r="J12" s="1" t="n">
        <v>0.0764107460561666</v>
      </c>
    </row>
    <row r="13" customFormat="false" ht="15" hidden="false" customHeight="false" outlineLevel="0" collapsed="false">
      <c r="A13" s="1" t="s">
        <v>25</v>
      </c>
      <c r="B13" s="1" t="s">
        <v>26</v>
      </c>
      <c r="C13" s="1" t="s">
        <v>13</v>
      </c>
      <c r="D13" s="1" t="s">
        <v>14</v>
      </c>
      <c r="E13" s="1" t="n">
        <v>0.576190476190476</v>
      </c>
      <c r="F13" s="1" t="n">
        <v>0.593424011867164</v>
      </c>
      <c r="G13" s="1" t="n">
        <v>0.629592587290893</v>
      </c>
      <c r="H13" s="1" t="n">
        <v>0.701744963642954</v>
      </c>
      <c r="I13" s="1" t="n">
        <v>0.593424011867164</v>
      </c>
      <c r="J13" s="1" t="n">
        <v>0.054962501320057</v>
      </c>
    </row>
    <row r="14" customFormat="false" ht="15" hidden="false" customHeight="false" outlineLevel="0" collapsed="false">
      <c r="A14" s="1" t="s">
        <v>19</v>
      </c>
      <c r="B14" s="1" t="s">
        <v>17</v>
      </c>
      <c r="C14" s="1" t="s">
        <v>13</v>
      </c>
      <c r="D14" s="1" t="s">
        <v>14</v>
      </c>
      <c r="E14" s="1" t="n">
        <v>0.576190476190476</v>
      </c>
      <c r="F14" s="1" t="n">
        <v>0.5961814527706</v>
      </c>
      <c r="G14" s="1" t="n">
        <v>0.61750635012393</v>
      </c>
      <c r="H14" s="1" t="n">
        <v>0.655531158155894</v>
      </c>
      <c r="I14" s="1" t="n">
        <v>0.5961814527706</v>
      </c>
      <c r="J14" s="1" t="n">
        <v>0.0569648429837761</v>
      </c>
    </row>
    <row r="15" customFormat="false" ht="15" hidden="false" customHeight="false" outlineLevel="0" collapsed="false">
      <c r="A15" s="1" t="s">
        <v>64</v>
      </c>
      <c r="B15" s="1" t="s">
        <v>23</v>
      </c>
      <c r="C15" s="1" t="s">
        <v>13</v>
      </c>
      <c r="D15" s="1" t="s">
        <v>14</v>
      </c>
      <c r="E15" s="1" t="n">
        <v>0.574603174603175</v>
      </c>
      <c r="F15" s="1" t="n">
        <v>0.598047660063164</v>
      </c>
      <c r="G15" s="1" t="n">
        <v>0.598703359064079</v>
      </c>
      <c r="H15" s="1" t="n">
        <v>0.606657946566397</v>
      </c>
      <c r="I15" s="1" t="n">
        <v>0.598047660063164</v>
      </c>
      <c r="J15" s="1" t="n">
        <v>0.0572824350012543</v>
      </c>
    </row>
    <row r="16" customFormat="false" ht="15" hidden="false" customHeight="false" outlineLevel="0" collapsed="false">
      <c r="A16" s="1" t="s">
        <v>21</v>
      </c>
      <c r="B16" s="1" t="s">
        <v>17</v>
      </c>
      <c r="C16" s="1" t="s">
        <v>13</v>
      </c>
      <c r="D16" s="1" t="s">
        <v>14</v>
      </c>
      <c r="E16" s="1" t="n">
        <v>0.574603174603175</v>
      </c>
      <c r="F16" s="1" t="n">
        <v>0.540733563020385</v>
      </c>
      <c r="G16" s="1" t="n">
        <v>0.560173208078532</v>
      </c>
      <c r="H16" s="1" t="n">
        <v>0.646852061670066</v>
      </c>
      <c r="I16" s="1" t="n">
        <v>0.540733563020385</v>
      </c>
      <c r="J16" s="1" t="n">
        <v>0.0659069193896113</v>
      </c>
    </row>
    <row r="17" customFormat="false" ht="15" hidden="false" customHeight="false" outlineLevel="0" collapsed="false">
      <c r="A17" s="1" t="s">
        <v>37</v>
      </c>
      <c r="B17" s="1" t="s">
        <v>23</v>
      </c>
      <c r="C17" s="1" t="s">
        <v>13</v>
      </c>
      <c r="D17" s="1" t="s">
        <v>14</v>
      </c>
      <c r="E17" s="1" t="n">
        <v>0.573015873015873</v>
      </c>
      <c r="F17" s="1" t="n">
        <v>0.621070198105082</v>
      </c>
      <c r="G17" s="1" t="n">
        <v>0.610248496818287</v>
      </c>
      <c r="H17" s="1" t="n">
        <v>0.63205008479595</v>
      </c>
      <c r="I17" s="1" t="n">
        <v>0.621070198105082</v>
      </c>
      <c r="J17" s="1" t="n">
        <v>0.0486451879757994</v>
      </c>
    </row>
    <row r="18" customFormat="false" ht="15" hidden="false" customHeight="false" outlineLevel="0" collapsed="false">
      <c r="A18" s="1" t="s">
        <v>16</v>
      </c>
      <c r="B18" s="1" t="s">
        <v>1</v>
      </c>
      <c r="C18" s="1" t="s">
        <v>13</v>
      </c>
      <c r="D18" s="1" t="s">
        <v>14</v>
      </c>
      <c r="E18" s="1" t="n">
        <v>0.56984126984127</v>
      </c>
      <c r="F18" s="1" t="n">
        <v>0.577866302995502</v>
      </c>
      <c r="G18" s="1" t="n">
        <v>0.615290878410162</v>
      </c>
      <c r="H18" s="1" t="n">
        <v>0.693466612538634</v>
      </c>
      <c r="I18" s="1" t="n">
        <v>0.577866302995502</v>
      </c>
      <c r="J18" s="1" t="n">
        <v>0.0419224242129249</v>
      </c>
    </row>
    <row r="19" customFormat="false" ht="15" hidden="false" customHeight="false" outlineLevel="0" collapsed="false">
      <c r="A19" s="1" t="s">
        <v>35</v>
      </c>
      <c r="B19" s="1" t="s">
        <v>26</v>
      </c>
      <c r="C19" s="1" t="s">
        <v>13</v>
      </c>
      <c r="D19" s="1" t="s">
        <v>14</v>
      </c>
      <c r="E19" s="1" t="n">
        <v>0.563492063492064</v>
      </c>
      <c r="F19" s="1" t="n">
        <v>0.505520863240501</v>
      </c>
      <c r="G19" s="1" t="n">
        <v>0.515412703320742</v>
      </c>
      <c r="H19" s="1" t="n">
        <v>0.592061248112314</v>
      </c>
      <c r="I19" s="1" t="n">
        <v>0.505520863240501</v>
      </c>
      <c r="J19" s="1" t="n">
        <v>0.0911332774775734</v>
      </c>
    </row>
    <row r="20" customFormat="false" ht="15" hidden="false" customHeight="false" outlineLevel="0" collapsed="false">
      <c r="A20" s="1" t="s">
        <v>73</v>
      </c>
      <c r="B20" s="1" t="s">
        <v>1</v>
      </c>
      <c r="C20" s="1" t="s">
        <v>13</v>
      </c>
      <c r="D20" s="1" t="s">
        <v>14</v>
      </c>
      <c r="E20" s="1" t="n">
        <v>0.56031746031746</v>
      </c>
      <c r="F20" s="1" t="n">
        <v>0.552505024404249</v>
      </c>
      <c r="G20" s="1" t="n">
        <v>0.583711134574425</v>
      </c>
      <c r="H20" s="1" t="n">
        <v>0.680942379245151</v>
      </c>
      <c r="I20" s="1" t="n">
        <v>0.552505024404249</v>
      </c>
      <c r="J20" s="1" t="n">
        <v>0.0829794430773809</v>
      </c>
    </row>
    <row r="21" customFormat="false" ht="15" hidden="false" customHeight="false" outlineLevel="0" collapsed="false">
      <c r="A21" s="1" t="s">
        <v>57</v>
      </c>
      <c r="B21" s="1" t="s">
        <v>26</v>
      </c>
      <c r="C21" s="1" t="s">
        <v>13</v>
      </c>
      <c r="D21" s="1" t="s">
        <v>14</v>
      </c>
      <c r="E21" s="1" t="n">
        <v>0.56031746031746</v>
      </c>
      <c r="F21" s="1" t="n">
        <v>0.530810364628194</v>
      </c>
      <c r="G21" s="1" t="n">
        <v>0.560124884587894</v>
      </c>
      <c r="H21" s="1" t="n">
        <v>0.671701839698637</v>
      </c>
      <c r="I21" s="1" t="n">
        <v>0.530810364628194</v>
      </c>
      <c r="J21" s="1" t="n">
        <v>0.0871792771720913</v>
      </c>
    </row>
    <row r="22" customFormat="false" ht="15" hidden="false" customHeight="false" outlineLevel="0" collapsed="false">
      <c r="A22" s="1" t="s">
        <v>69</v>
      </c>
      <c r="B22" s="1" t="s">
        <v>1</v>
      </c>
      <c r="C22" s="1" t="s">
        <v>13</v>
      </c>
      <c r="D22" s="1" t="s">
        <v>14</v>
      </c>
      <c r="E22" s="1" t="n">
        <v>0.557142857142857</v>
      </c>
      <c r="F22" s="1" t="n">
        <v>0.588297923246244</v>
      </c>
      <c r="G22" s="1" t="n">
        <v>0.59420724583929</v>
      </c>
      <c r="H22" s="1" t="n">
        <v>0.678278161373656</v>
      </c>
      <c r="I22" s="1" t="n">
        <v>0.588297923246244</v>
      </c>
      <c r="J22" s="1" t="n">
        <v>0.030897337800111</v>
      </c>
    </row>
    <row r="23" customFormat="false" ht="15" hidden="false" customHeight="false" outlineLevel="0" collapsed="false">
      <c r="A23" s="1" t="s">
        <v>26</v>
      </c>
      <c r="B23" s="1" t="s">
        <v>26</v>
      </c>
      <c r="C23" s="1" t="s">
        <v>18</v>
      </c>
      <c r="D23" s="1" t="s">
        <v>14</v>
      </c>
      <c r="E23" s="1" t="n">
        <v>0.555555555555556</v>
      </c>
      <c r="F23" s="1" t="n">
        <v>0.503798210355058</v>
      </c>
      <c r="G23" s="1" t="n">
        <v>0.530030585074854</v>
      </c>
      <c r="H23" s="1" t="n">
        <v>0.647254413004087</v>
      </c>
      <c r="I23" s="1" t="n">
        <v>0.503798210355058</v>
      </c>
      <c r="J23" s="1" t="n">
        <v>0.0966925926737848</v>
      </c>
    </row>
    <row r="24" customFormat="false" ht="15" hidden="false" customHeight="false" outlineLevel="0" collapsed="false">
      <c r="A24" s="1" t="s">
        <v>36</v>
      </c>
      <c r="B24" s="1" t="s">
        <v>26</v>
      </c>
      <c r="C24" s="1" t="s">
        <v>13</v>
      </c>
      <c r="D24" s="1" t="s">
        <v>14</v>
      </c>
      <c r="E24" s="1" t="n">
        <v>0.547619047619048</v>
      </c>
      <c r="F24" s="1" t="n">
        <v>0.518895348837209</v>
      </c>
      <c r="G24" s="1" t="n">
        <v>0.506147006326493</v>
      </c>
      <c r="H24" s="1" t="n">
        <v>0.578810541471218</v>
      </c>
      <c r="I24" s="1" t="n">
        <v>0.518895348837209</v>
      </c>
      <c r="J24" s="1" t="n">
        <v>0.128430868226395</v>
      </c>
    </row>
    <row r="25" customFormat="false" ht="15" hidden="false" customHeight="false" outlineLevel="0" collapsed="false">
      <c r="A25" s="1" t="s">
        <v>28</v>
      </c>
      <c r="B25" s="1" t="s">
        <v>26</v>
      </c>
      <c r="C25" s="1" t="s">
        <v>13</v>
      </c>
      <c r="D25" s="1" t="s">
        <v>14</v>
      </c>
      <c r="E25" s="1" t="n">
        <v>0.541269841269841</v>
      </c>
      <c r="F25" s="1" t="n">
        <v>0.53858024691358</v>
      </c>
      <c r="G25" s="1" t="n">
        <v>0.568696310668153</v>
      </c>
      <c r="H25" s="1" t="n">
        <v>0.646068757504407</v>
      </c>
      <c r="I25" s="1" t="n">
        <v>0.53858024691358</v>
      </c>
      <c r="J25" s="1" t="n">
        <v>0.0563691727906227</v>
      </c>
    </row>
    <row r="26" customFormat="false" ht="15" hidden="false" customHeight="false" outlineLevel="0" collapsed="false">
      <c r="A26" s="1" t="s">
        <v>29</v>
      </c>
      <c r="B26" s="1" t="s">
        <v>17</v>
      </c>
      <c r="C26" s="1" t="s">
        <v>13</v>
      </c>
      <c r="D26" s="1" t="s">
        <v>14</v>
      </c>
      <c r="E26" s="1" t="n">
        <v>0.541269841269841</v>
      </c>
      <c r="F26" s="1" t="n">
        <v>0.543694372667241</v>
      </c>
      <c r="G26" s="1" t="n">
        <v>0.545829351918927</v>
      </c>
      <c r="H26" s="1" t="n">
        <v>0.58706436068904</v>
      </c>
      <c r="I26" s="1" t="n">
        <v>0.543694372667241</v>
      </c>
      <c r="J26" s="1" t="n">
        <v>0.0590087592008293</v>
      </c>
    </row>
    <row r="27" customFormat="false" ht="15" hidden="false" customHeight="false" outlineLevel="0" collapsed="false">
      <c r="A27" s="1" t="s">
        <v>23</v>
      </c>
      <c r="B27" s="1" t="s">
        <v>23</v>
      </c>
      <c r="C27" s="1" t="s">
        <v>18</v>
      </c>
      <c r="D27" s="1" t="s">
        <v>14</v>
      </c>
      <c r="E27" s="1" t="n">
        <v>0.53968253968254</v>
      </c>
      <c r="F27" s="1" t="n">
        <v>0.542940712029859</v>
      </c>
      <c r="G27" s="1" t="n">
        <v>0.540074849735394</v>
      </c>
      <c r="H27" s="1" t="n">
        <v>0.547159569464962</v>
      </c>
      <c r="I27" s="1" t="n">
        <v>0.542940712029859</v>
      </c>
      <c r="J27" s="1" t="n">
        <v>0.067813276925187</v>
      </c>
    </row>
    <row r="28" customFormat="false" ht="15" hidden="false" customHeight="false" outlineLevel="0" collapsed="false">
      <c r="A28" s="1" t="s">
        <v>58</v>
      </c>
      <c r="B28" s="1" t="s">
        <v>26</v>
      </c>
      <c r="C28" s="1" t="s">
        <v>13</v>
      </c>
      <c r="D28" s="1" t="s">
        <v>14</v>
      </c>
      <c r="E28" s="1" t="n">
        <v>0.538095238095238</v>
      </c>
      <c r="F28" s="1" t="n">
        <v>0.546386017800747</v>
      </c>
      <c r="G28" s="1" t="n">
        <v>0.509016587834045</v>
      </c>
      <c r="H28" s="1" t="n">
        <v>0.513493385649903</v>
      </c>
      <c r="I28" s="1" t="n">
        <v>0.546386017800747</v>
      </c>
      <c r="J28" s="1" t="n">
        <v>0.0853060385539915</v>
      </c>
    </row>
    <row r="29" customFormat="false" ht="15" hidden="false" customHeight="false" outlineLevel="0" collapsed="false">
      <c r="A29" s="1" t="s">
        <v>30</v>
      </c>
      <c r="B29" s="1" t="s">
        <v>26</v>
      </c>
      <c r="C29" s="1" t="s">
        <v>13</v>
      </c>
      <c r="D29" s="1" t="s">
        <v>14</v>
      </c>
      <c r="E29" s="1" t="n">
        <v>0.536507936507937</v>
      </c>
      <c r="F29" s="1" t="n">
        <v>0.515904632022203</v>
      </c>
      <c r="G29" s="1" t="n">
        <v>0.556661719074819</v>
      </c>
      <c r="H29" s="1" t="n">
        <v>0.675740928805708</v>
      </c>
      <c r="I29" s="1" t="n">
        <v>0.515904632022203</v>
      </c>
      <c r="J29" s="1" t="n">
        <v>0.0564556860460196</v>
      </c>
    </row>
    <row r="30" customFormat="false" ht="15" hidden="false" customHeight="false" outlineLevel="0" collapsed="false">
      <c r="A30" s="1" t="s">
        <v>41</v>
      </c>
      <c r="B30" s="1" t="s">
        <v>23</v>
      </c>
      <c r="C30" s="1" t="s">
        <v>13</v>
      </c>
      <c r="D30" s="1" t="s">
        <v>14</v>
      </c>
      <c r="E30" s="1" t="n">
        <v>0.533333333333333</v>
      </c>
      <c r="F30" s="1" t="n">
        <v>0.578255096181453</v>
      </c>
      <c r="G30" s="1" t="n">
        <v>0.554972517336703</v>
      </c>
      <c r="H30" s="1" t="n">
        <v>0.579903171031263</v>
      </c>
      <c r="I30" s="1" t="n">
        <v>0.578255096181453</v>
      </c>
      <c r="J30" s="1" t="n">
        <v>0.0818897554066302</v>
      </c>
    </row>
    <row r="31" customFormat="false" ht="15" hidden="false" customHeight="false" outlineLevel="0" collapsed="false">
      <c r="A31" s="1" t="s">
        <v>22</v>
      </c>
      <c r="B31" s="1" t="s">
        <v>23</v>
      </c>
      <c r="C31" s="1" t="s">
        <v>13</v>
      </c>
      <c r="D31" s="1" t="s">
        <v>14</v>
      </c>
      <c r="E31" s="1" t="n">
        <v>0.531746031746032</v>
      </c>
      <c r="F31" s="1" t="n">
        <v>0.598268973107474</v>
      </c>
      <c r="G31" s="1" t="n">
        <v>0.594457933706572</v>
      </c>
      <c r="H31" s="1" t="n">
        <v>0.607929003300282</v>
      </c>
      <c r="I31" s="1" t="n">
        <v>0.598268973107474</v>
      </c>
      <c r="J31" s="1" t="n">
        <v>0.0538752036599036</v>
      </c>
    </row>
    <row r="32" customFormat="false" ht="15" hidden="false" customHeight="false" outlineLevel="0" collapsed="false">
      <c r="A32" s="1" t="s">
        <v>60</v>
      </c>
      <c r="B32" s="1" t="s">
        <v>26</v>
      </c>
      <c r="C32" s="1" t="s">
        <v>13</v>
      </c>
      <c r="D32" s="1" t="s">
        <v>14</v>
      </c>
      <c r="E32" s="1" t="n">
        <v>0.53015873015873</v>
      </c>
      <c r="F32" s="1" t="n">
        <v>0.510210307206431</v>
      </c>
      <c r="G32" s="1" t="n">
        <v>0.535028578169667</v>
      </c>
      <c r="H32" s="1" t="n">
        <v>0.641911289465173</v>
      </c>
      <c r="I32" s="1" t="n">
        <v>0.510210307206431</v>
      </c>
      <c r="J32" s="1" t="n">
        <v>0.0905268811399744</v>
      </c>
    </row>
    <row r="33" customFormat="false" ht="15" hidden="false" customHeight="false" outlineLevel="0" collapsed="false">
      <c r="A33" s="1" t="s">
        <v>42</v>
      </c>
      <c r="B33" s="1" t="s">
        <v>1</v>
      </c>
      <c r="C33" s="1" t="s">
        <v>13</v>
      </c>
      <c r="D33" s="1" t="s">
        <v>14</v>
      </c>
      <c r="E33" s="1" t="n">
        <v>0.528571428571429</v>
      </c>
      <c r="F33" s="1" t="n">
        <v>0.593328308929084</v>
      </c>
      <c r="G33" s="1" t="n">
        <v>0.532319592266868</v>
      </c>
      <c r="H33" s="1" t="n">
        <v>0.526195153961098</v>
      </c>
      <c r="I33" s="1" t="n">
        <v>0.593328308929084</v>
      </c>
      <c r="J33" s="1" t="n">
        <v>0.0527599939081974</v>
      </c>
    </row>
    <row r="34" customFormat="false" ht="15" hidden="false" customHeight="false" outlineLevel="0" collapsed="false">
      <c r="A34" s="1" t="s">
        <v>71</v>
      </c>
      <c r="B34" s="1" t="s">
        <v>1</v>
      </c>
      <c r="C34" s="1" t="s">
        <v>13</v>
      </c>
      <c r="D34" s="1" t="s">
        <v>14</v>
      </c>
      <c r="E34" s="1" t="n">
        <v>0.526984126984127</v>
      </c>
      <c r="F34" s="1" t="n">
        <v>0.625951047947172</v>
      </c>
      <c r="G34" s="1" t="n">
        <v>0.554315254493298</v>
      </c>
      <c r="H34" s="1" t="n">
        <v>0.543764080156118</v>
      </c>
      <c r="I34" s="1" t="n">
        <v>0.625951047947172</v>
      </c>
      <c r="J34" s="1" t="n">
        <v>0.054449224759482</v>
      </c>
    </row>
    <row r="35" customFormat="false" ht="15" hidden="false" customHeight="false" outlineLevel="0" collapsed="false">
      <c r="A35" s="1" t="s">
        <v>27</v>
      </c>
      <c r="B35" s="1" t="s">
        <v>23</v>
      </c>
      <c r="C35" s="1" t="s">
        <v>13</v>
      </c>
      <c r="D35" s="1" t="s">
        <v>14</v>
      </c>
      <c r="E35" s="1" t="n">
        <v>0.525396825396825</v>
      </c>
      <c r="F35" s="1" t="n">
        <v>0.556817638051488</v>
      </c>
      <c r="G35" s="1" t="n">
        <v>0.565004052947557</v>
      </c>
      <c r="H35" s="1" t="n">
        <v>0.58887638437582</v>
      </c>
      <c r="I35" s="1" t="n">
        <v>0.556817638051488</v>
      </c>
      <c r="J35" s="1" t="n">
        <v>0.0913179241455534</v>
      </c>
    </row>
    <row r="36" customFormat="false" ht="15" hidden="false" customHeight="false" outlineLevel="0" collapsed="false">
      <c r="A36" s="1" t="s">
        <v>1</v>
      </c>
      <c r="B36" s="1" t="s">
        <v>1</v>
      </c>
      <c r="C36" s="1" t="s">
        <v>18</v>
      </c>
      <c r="D36" s="1" t="s">
        <v>14</v>
      </c>
      <c r="E36" s="1" t="n">
        <v>0.523809523809524</v>
      </c>
      <c r="F36" s="1" t="n">
        <v>0.364771748492679</v>
      </c>
      <c r="G36" s="1" t="n">
        <v>0.34522206282216</v>
      </c>
      <c r="H36" s="1" t="n">
        <v>0.341040156864108</v>
      </c>
      <c r="I36" s="1" t="n">
        <v>0.364771748492679</v>
      </c>
      <c r="J36" s="1" t="n">
        <v>0.0360870302601244</v>
      </c>
    </row>
    <row r="37" customFormat="false" ht="15" hidden="false" customHeight="false" outlineLevel="0" collapsed="false">
      <c r="A37" s="1" t="s">
        <v>31</v>
      </c>
      <c r="B37" s="1" t="s">
        <v>1</v>
      </c>
      <c r="C37" s="1" t="s">
        <v>13</v>
      </c>
      <c r="D37" s="1" t="s">
        <v>14</v>
      </c>
      <c r="E37" s="1" t="n">
        <v>0.523809523809524</v>
      </c>
      <c r="F37" s="1" t="n">
        <v>0.633882428940569</v>
      </c>
      <c r="G37" s="1" t="n">
        <v>0.551948160659962</v>
      </c>
      <c r="H37" s="1" t="n">
        <v>0.528292248547161</v>
      </c>
      <c r="I37" s="1" t="n">
        <v>0.633882428940569</v>
      </c>
      <c r="J37" s="1" t="n">
        <v>0.0496848366729595</v>
      </c>
    </row>
    <row r="38" customFormat="false" ht="15" hidden="false" customHeight="false" outlineLevel="0" collapsed="false">
      <c r="A38" s="1" t="s">
        <v>61</v>
      </c>
      <c r="B38" s="1" t="s">
        <v>23</v>
      </c>
      <c r="C38" s="1" t="s">
        <v>13</v>
      </c>
      <c r="D38" s="1" t="s">
        <v>14</v>
      </c>
      <c r="E38" s="1" t="n">
        <v>0.515873015873016</v>
      </c>
      <c r="F38" s="1" t="n">
        <v>0.564318355823524</v>
      </c>
      <c r="G38" s="1" t="n">
        <v>0.568098257028477</v>
      </c>
      <c r="H38" s="1" t="n">
        <v>0.594355102212307</v>
      </c>
      <c r="I38" s="1" t="n">
        <v>0.564318355823524</v>
      </c>
      <c r="J38" s="1" t="n">
        <v>0.0254689809941896</v>
      </c>
    </row>
    <row r="39" customFormat="false" ht="15" hidden="false" customHeight="false" outlineLevel="0" collapsed="false">
      <c r="A39" s="1" t="s">
        <v>33</v>
      </c>
      <c r="B39" s="1" t="s">
        <v>1</v>
      </c>
      <c r="C39" s="1" t="s">
        <v>13</v>
      </c>
      <c r="D39" s="1" t="s">
        <v>14</v>
      </c>
      <c r="E39" s="1" t="n">
        <v>0.507936507936508</v>
      </c>
      <c r="F39" s="1" t="n">
        <v>0.540099531055603</v>
      </c>
      <c r="G39" s="1" t="n">
        <v>0.520010843627263</v>
      </c>
      <c r="H39" s="1" t="n">
        <v>0.567962703881112</v>
      </c>
      <c r="I39" s="1" t="n">
        <v>0.540099531055603</v>
      </c>
      <c r="J39" s="1" t="n">
        <v>0.103322053418519</v>
      </c>
    </row>
    <row r="40" customFormat="false" ht="15" hidden="false" customHeight="false" outlineLevel="0" collapsed="false">
      <c r="A40" s="1" t="s">
        <v>32</v>
      </c>
      <c r="B40" s="1" t="s">
        <v>1</v>
      </c>
      <c r="C40" s="1" t="s">
        <v>13</v>
      </c>
      <c r="D40" s="1" t="s">
        <v>14</v>
      </c>
      <c r="E40" s="1" t="n">
        <v>0.503174603174603</v>
      </c>
      <c r="F40" s="1" t="n">
        <v>0.586982007847641</v>
      </c>
      <c r="G40" s="1" t="n">
        <v>0.540075668035608</v>
      </c>
      <c r="H40" s="1" t="n">
        <v>0.527853338203238</v>
      </c>
      <c r="I40" s="1" t="n">
        <v>0.586982007847641</v>
      </c>
      <c r="J40" s="1" t="n">
        <v>0.0709669676125583</v>
      </c>
    </row>
    <row r="41" customFormat="false" ht="15" hidden="false" customHeight="false" outlineLevel="0" collapsed="false">
      <c r="A41" s="1" t="s">
        <v>40</v>
      </c>
      <c r="B41" s="1" t="s">
        <v>1</v>
      </c>
      <c r="C41" s="1" t="s">
        <v>13</v>
      </c>
      <c r="D41" s="1" t="s">
        <v>14</v>
      </c>
      <c r="E41" s="1" t="n">
        <v>0.503174603174603</v>
      </c>
      <c r="F41" s="1" t="n">
        <v>0.597108574983252</v>
      </c>
      <c r="G41" s="1" t="n">
        <v>0.525225249505212</v>
      </c>
      <c r="H41" s="1" t="n">
        <v>0.516839253560412</v>
      </c>
      <c r="I41" s="1" t="n">
        <v>0.597108574983252</v>
      </c>
      <c r="J41" s="1" t="n">
        <v>0.0633817952712612</v>
      </c>
    </row>
    <row r="42" customFormat="false" ht="15" hidden="false" customHeight="false" outlineLevel="0" collapsed="false">
      <c r="A42" s="1" t="s">
        <v>72</v>
      </c>
      <c r="B42" s="1" t="s">
        <v>1</v>
      </c>
      <c r="C42" s="1" t="s">
        <v>13</v>
      </c>
      <c r="D42" s="1" t="s">
        <v>14</v>
      </c>
      <c r="E42" s="1" t="n">
        <v>0.496825396825397</v>
      </c>
      <c r="F42" s="1" t="n">
        <v>0.569857163364915</v>
      </c>
      <c r="G42" s="1" t="n">
        <v>0.509751199680996</v>
      </c>
      <c r="H42" s="1" t="n">
        <v>0.515872768824628</v>
      </c>
      <c r="I42" s="1" t="n">
        <v>0.569857163364915</v>
      </c>
      <c r="J42" s="1" t="n">
        <v>0.101261325578966</v>
      </c>
    </row>
    <row r="43" customFormat="false" ht="15" hidden="false" customHeight="false" outlineLevel="0" collapsed="false">
      <c r="A43" s="1" t="s">
        <v>44</v>
      </c>
      <c r="B43" s="1" t="s">
        <v>23</v>
      </c>
      <c r="C43" s="1" t="s">
        <v>13</v>
      </c>
      <c r="D43" s="1" t="s">
        <v>14</v>
      </c>
      <c r="E43" s="1" t="n">
        <v>0.46984126984127</v>
      </c>
      <c r="F43" s="1" t="n">
        <v>0.539860273710403</v>
      </c>
      <c r="G43" s="1" t="n">
        <v>0.442450363083943</v>
      </c>
      <c r="H43" s="1" t="n">
        <v>0.469501092800565</v>
      </c>
      <c r="I43" s="1" t="n">
        <v>0.539860273710403</v>
      </c>
      <c r="J43" s="1" t="n">
        <v>0.0866108951044871</v>
      </c>
    </row>
    <row r="44" customFormat="false" ht="15" hidden="false" customHeight="false" outlineLevel="0" collapsed="false">
      <c r="A44" s="1" t="s">
        <v>38</v>
      </c>
      <c r="B44" s="1" t="s">
        <v>26</v>
      </c>
      <c r="C44" s="1" t="s">
        <v>13</v>
      </c>
      <c r="D44" s="1" t="s">
        <v>14</v>
      </c>
      <c r="E44" s="1" t="n">
        <v>0.465079365079365</v>
      </c>
      <c r="F44" s="1" t="n">
        <v>0.494586802564839</v>
      </c>
      <c r="G44" s="1" t="n">
        <v>0.467751692440453</v>
      </c>
      <c r="H44" s="1" t="n">
        <v>0.486245641140628</v>
      </c>
      <c r="I44" s="1" t="n">
        <v>0.494586802564839</v>
      </c>
      <c r="J44" s="1" t="n">
        <v>0.0815846307289311</v>
      </c>
    </row>
    <row r="45" customFormat="false" ht="15" hidden="false" customHeight="false" outlineLevel="0" collapsed="false">
      <c r="A45" s="1" t="s">
        <v>46</v>
      </c>
      <c r="B45" s="1" t="s">
        <v>23</v>
      </c>
      <c r="C45" s="1" t="s">
        <v>13</v>
      </c>
      <c r="D45" s="1" t="s">
        <v>14</v>
      </c>
      <c r="E45" s="1" t="n">
        <v>0.461904761904762</v>
      </c>
      <c r="F45" s="1" t="n">
        <v>0.508960187577759</v>
      </c>
      <c r="G45" s="1" t="n">
        <v>0.432890634655296</v>
      </c>
      <c r="H45" s="1" t="n">
        <v>0.439062026808402</v>
      </c>
      <c r="I45" s="1" t="n">
        <v>0.508960187577759</v>
      </c>
      <c r="J45" s="1" t="n">
        <v>0.0801000986864106</v>
      </c>
    </row>
    <row r="46" customFormat="false" ht="15" hidden="false" customHeight="false" outlineLevel="0" collapsed="false">
      <c r="A46" s="1" t="s">
        <v>49</v>
      </c>
      <c r="B46" s="1" t="s">
        <v>17</v>
      </c>
      <c r="C46" s="1" t="s">
        <v>13</v>
      </c>
      <c r="D46" s="1" t="s">
        <v>14</v>
      </c>
      <c r="E46" s="1" t="n">
        <v>0.458730158730159</v>
      </c>
      <c r="F46" s="1" t="n">
        <v>0.556620250741698</v>
      </c>
      <c r="G46" s="1" t="n">
        <v>0.424629818966115</v>
      </c>
      <c r="H46" s="1" t="n">
        <v>0.510217629318277</v>
      </c>
      <c r="I46" s="1" t="n">
        <v>0.556620250741698</v>
      </c>
      <c r="J46" s="1" t="n">
        <v>0.0716121300201918</v>
      </c>
    </row>
    <row r="47" customFormat="false" ht="15" hidden="false" customHeight="false" outlineLevel="0" collapsed="false">
      <c r="A47" s="1" t="s">
        <v>39</v>
      </c>
      <c r="B47" s="1" t="s">
        <v>26</v>
      </c>
      <c r="C47" s="1" t="s">
        <v>13</v>
      </c>
      <c r="D47" s="1" t="s">
        <v>14</v>
      </c>
      <c r="E47" s="1" t="n">
        <v>0.457142857142857</v>
      </c>
      <c r="F47" s="1" t="n">
        <v>0.501800411522634</v>
      </c>
      <c r="G47" s="1" t="n">
        <v>0.430555836296786</v>
      </c>
      <c r="H47" s="1" t="n">
        <v>0.450953943570809</v>
      </c>
      <c r="I47" s="1" t="n">
        <v>0.501800411522634</v>
      </c>
      <c r="J47" s="1" t="n">
        <v>0.0642922738146026</v>
      </c>
    </row>
    <row r="48" customFormat="false" ht="15" hidden="false" customHeight="false" outlineLevel="0" collapsed="false">
      <c r="A48" s="1" t="s">
        <v>50</v>
      </c>
      <c r="B48" s="1" t="s">
        <v>23</v>
      </c>
      <c r="C48" s="1" t="s">
        <v>13</v>
      </c>
      <c r="D48" s="1" t="s">
        <v>14</v>
      </c>
      <c r="E48" s="1" t="n">
        <v>0.455555555555556</v>
      </c>
      <c r="F48" s="1" t="n">
        <v>0.521676715475165</v>
      </c>
      <c r="G48" s="1" t="n">
        <v>0.429800752100814</v>
      </c>
      <c r="H48" s="1" t="n">
        <v>0.437470872158941</v>
      </c>
      <c r="I48" s="1" t="n">
        <v>0.521676715475165</v>
      </c>
      <c r="J48" s="1" t="n">
        <v>0.0408826805310296</v>
      </c>
    </row>
    <row r="49" customFormat="false" ht="15" hidden="false" customHeight="false" outlineLevel="0" collapsed="false">
      <c r="A49" s="1" t="s">
        <v>45</v>
      </c>
      <c r="B49" s="1" t="s">
        <v>1</v>
      </c>
      <c r="C49" s="1" t="s">
        <v>13</v>
      </c>
      <c r="D49" s="1" t="s">
        <v>14</v>
      </c>
      <c r="E49" s="1" t="n">
        <v>0.455555555555556</v>
      </c>
      <c r="F49" s="1" t="n">
        <v>0.572973490286152</v>
      </c>
      <c r="G49" s="1" t="n">
        <v>0.427327700478882</v>
      </c>
      <c r="H49" s="1" t="n">
        <v>0.547581163985032</v>
      </c>
      <c r="I49" s="1" t="n">
        <v>0.572973490286152</v>
      </c>
      <c r="J49" s="1" t="n">
        <v>0.0566714856122697</v>
      </c>
    </row>
    <row r="50" customFormat="false" ht="15" hidden="false" customHeight="false" outlineLevel="0" collapsed="false">
      <c r="A50" s="1" t="s">
        <v>59</v>
      </c>
      <c r="B50" s="1" t="s">
        <v>26</v>
      </c>
      <c r="C50" s="1" t="s">
        <v>13</v>
      </c>
      <c r="D50" s="1" t="s">
        <v>14</v>
      </c>
      <c r="E50" s="1" t="n">
        <v>0.453968253968254</v>
      </c>
      <c r="F50" s="1" t="n">
        <v>0.529195377548091</v>
      </c>
      <c r="G50" s="1" t="n">
        <v>0.450112305157936</v>
      </c>
      <c r="H50" s="1" t="n">
        <v>0.468905620384869</v>
      </c>
      <c r="I50" s="1" t="n">
        <v>0.529195377548091</v>
      </c>
      <c r="J50" s="1" t="n">
        <v>0.114874222262166</v>
      </c>
    </row>
    <row r="51" customFormat="false" ht="15" hidden="false" customHeight="false" outlineLevel="0" collapsed="false">
      <c r="A51" s="1" t="s">
        <v>63</v>
      </c>
      <c r="B51" s="1" t="s">
        <v>23</v>
      </c>
      <c r="C51" s="1" t="s">
        <v>13</v>
      </c>
      <c r="D51" s="1" t="s">
        <v>14</v>
      </c>
      <c r="E51" s="1" t="n">
        <v>0.441269841269841</v>
      </c>
      <c r="F51" s="1" t="n">
        <v>0.515563690305292</v>
      </c>
      <c r="G51" s="1" t="n">
        <v>0.428389147437338</v>
      </c>
      <c r="H51" s="1" t="n">
        <v>0.424806850904103</v>
      </c>
      <c r="I51" s="1" t="n">
        <v>0.515563690305292</v>
      </c>
      <c r="J51" s="1" t="n">
        <v>0.0612841165181008</v>
      </c>
    </row>
    <row r="52" customFormat="false" ht="15" hidden="false" customHeight="false" outlineLevel="0" collapsed="false">
      <c r="A52" s="1" t="s">
        <v>43</v>
      </c>
      <c r="B52" s="1" t="s">
        <v>26</v>
      </c>
      <c r="C52" s="1" t="s">
        <v>13</v>
      </c>
      <c r="D52" s="1" t="s">
        <v>14</v>
      </c>
      <c r="E52" s="1" t="n">
        <v>0.438095238095238</v>
      </c>
      <c r="F52" s="1" t="n">
        <v>0.505359364532491</v>
      </c>
      <c r="G52" s="1" t="n">
        <v>0.440891155088154</v>
      </c>
      <c r="H52" s="1" t="n">
        <v>0.452993020895543</v>
      </c>
      <c r="I52" s="1" t="n">
        <v>0.505359364532491</v>
      </c>
      <c r="J52" s="1" t="n">
        <v>0.112626206810303</v>
      </c>
    </row>
    <row r="53" customFormat="false" ht="15" hidden="false" customHeight="false" outlineLevel="0" collapsed="false">
      <c r="A53" s="1" t="s">
        <v>48</v>
      </c>
      <c r="B53" s="1" t="s">
        <v>26</v>
      </c>
      <c r="C53" s="1" t="s">
        <v>13</v>
      </c>
      <c r="D53" s="1" t="s">
        <v>14</v>
      </c>
      <c r="E53" s="1" t="n">
        <v>0.434920634920635</v>
      </c>
      <c r="F53" s="1" t="n">
        <v>0.45676619772227</v>
      </c>
      <c r="G53" s="1" t="n">
        <v>0.416330993577856</v>
      </c>
      <c r="H53" s="1" t="n">
        <v>0.421402648556168</v>
      </c>
      <c r="I53" s="1" t="n">
        <v>0.45676619772227</v>
      </c>
      <c r="J53" s="1" t="n">
        <v>0.0586405175046672</v>
      </c>
    </row>
    <row r="54" customFormat="false" ht="15" hidden="false" customHeight="false" outlineLevel="0" collapsed="false">
      <c r="A54" s="1" t="s">
        <v>47</v>
      </c>
      <c r="B54" s="1" t="s">
        <v>23</v>
      </c>
      <c r="C54" s="1" t="s">
        <v>13</v>
      </c>
      <c r="D54" s="1" t="s">
        <v>14</v>
      </c>
      <c r="E54" s="1" t="n">
        <v>0.428571428571429</v>
      </c>
      <c r="F54" s="1" t="n">
        <v>0.509199444922959</v>
      </c>
      <c r="G54" s="1" t="n">
        <v>0.376784363221342</v>
      </c>
      <c r="H54" s="1" t="n">
        <v>0.498321106778521</v>
      </c>
      <c r="I54" s="1" t="n">
        <v>0.509199444922959</v>
      </c>
      <c r="J54" s="1" t="n">
        <v>0.0809424867575265</v>
      </c>
    </row>
    <row r="55" customFormat="false" ht="15" hidden="false" customHeight="false" outlineLevel="0" collapsed="false">
      <c r="A55" s="1" t="s">
        <v>51</v>
      </c>
      <c r="B55" s="1" t="s">
        <v>26</v>
      </c>
      <c r="C55" s="1" t="s">
        <v>13</v>
      </c>
      <c r="D55" s="1" t="s">
        <v>14</v>
      </c>
      <c r="E55" s="1" t="n">
        <v>0.415873015873016</v>
      </c>
      <c r="F55" s="1" t="n">
        <v>0.508589338692698</v>
      </c>
      <c r="G55" s="1" t="n">
        <v>0.392102794311487</v>
      </c>
      <c r="H55" s="1" t="n">
        <v>0.485126009081856</v>
      </c>
      <c r="I55" s="1" t="n">
        <v>0.508589338692698</v>
      </c>
      <c r="J55" s="1" t="n">
        <v>0.104195618524128</v>
      </c>
    </row>
    <row r="56" customFormat="false" ht="15" hidden="false" customHeight="false" outlineLevel="0" collapsed="false">
      <c r="A56" s="1" t="s">
        <v>53</v>
      </c>
      <c r="B56" s="1" t="s">
        <v>17</v>
      </c>
      <c r="C56" s="1" t="s">
        <v>13</v>
      </c>
      <c r="D56" s="1" t="s">
        <v>14</v>
      </c>
      <c r="E56" s="1" t="n">
        <v>0.409523809523809</v>
      </c>
      <c r="F56" s="1" t="n">
        <v>0.333333333333333</v>
      </c>
      <c r="G56" s="1" t="n">
        <v>0.193693693693694</v>
      </c>
      <c r="H56" s="1" t="n">
        <v>0.136507936507937</v>
      </c>
      <c r="I56" s="1" t="n">
        <v>0.333333333333333</v>
      </c>
      <c r="J56" s="1" t="n">
        <v>0</v>
      </c>
    </row>
    <row r="57" customFormat="false" ht="15" hidden="false" customHeight="false" outlineLevel="0" collapsed="false">
      <c r="A57" s="1" t="s">
        <v>54</v>
      </c>
      <c r="B57" s="1" t="s">
        <v>17</v>
      </c>
      <c r="C57" s="1" t="s">
        <v>13</v>
      </c>
      <c r="D57" s="1" t="s">
        <v>14</v>
      </c>
      <c r="E57" s="1" t="n">
        <v>0.409523809523809</v>
      </c>
      <c r="F57" s="1" t="n">
        <v>0.333333333333333</v>
      </c>
      <c r="G57" s="1" t="n">
        <v>0.193693693693694</v>
      </c>
      <c r="H57" s="1" t="n">
        <v>0.136507936507937</v>
      </c>
      <c r="I57" s="1" t="n">
        <v>0.333333333333333</v>
      </c>
      <c r="J57" s="1" t="n">
        <v>0</v>
      </c>
    </row>
    <row r="58" customFormat="false" ht="15" hidden="false" customHeight="false" outlineLevel="0" collapsed="false">
      <c r="A58" s="1" t="s">
        <v>55</v>
      </c>
      <c r="B58" s="1" t="s">
        <v>17</v>
      </c>
      <c r="C58" s="1" t="s">
        <v>13</v>
      </c>
      <c r="D58" s="1" t="s">
        <v>14</v>
      </c>
      <c r="E58" s="1" t="n">
        <v>0.409523809523809</v>
      </c>
      <c r="F58" s="1" t="n">
        <v>0.333333333333333</v>
      </c>
      <c r="G58" s="1" t="n">
        <v>0.193693693693694</v>
      </c>
      <c r="H58" s="1" t="n">
        <v>0.136507936507937</v>
      </c>
      <c r="I58" s="1" t="n">
        <v>0.333333333333333</v>
      </c>
      <c r="J58" s="1" t="n">
        <v>0</v>
      </c>
    </row>
    <row r="59" customFormat="false" ht="15" hidden="false" customHeight="false" outlineLevel="0" collapsed="false">
      <c r="A59" s="1" t="s">
        <v>56</v>
      </c>
      <c r="B59" s="1" t="s">
        <v>17</v>
      </c>
      <c r="C59" s="1" t="s">
        <v>13</v>
      </c>
      <c r="D59" s="1" t="s">
        <v>14</v>
      </c>
      <c r="E59" s="1" t="n">
        <v>0.409523809523809</v>
      </c>
      <c r="F59" s="1" t="n">
        <v>0.333333333333333</v>
      </c>
      <c r="G59" s="1" t="n">
        <v>0.193693693693694</v>
      </c>
      <c r="H59" s="1" t="n">
        <v>0.136507936507937</v>
      </c>
      <c r="I59" s="1" t="n">
        <v>0.333333333333333</v>
      </c>
      <c r="J59" s="1" t="n">
        <v>0</v>
      </c>
    </row>
    <row r="60" customFormat="false" ht="15" hidden="false" customHeight="false" outlineLevel="0" collapsed="false">
      <c r="A60" s="1" t="s">
        <v>66</v>
      </c>
      <c r="B60" s="1" t="s">
        <v>17</v>
      </c>
      <c r="C60" s="1" t="s">
        <v>13</v>
      </c>
      <c r="D60" s="1" t="s">
        <v>14</v>
      </c>
      <c r="E60" s="1" t="n">
        <v>0.409523809523809</v>
      </c>
      <c r="F60" s="1" t="n">
        <v>0.333333333333333</v>
      </c>
      <c r="G60" s="1" t="n">
        <v>0.193693693693694</v>
      </c>
      <c r="H60" s="1" t="n">
        <v>0.136507936507937</v>
      </c>
      <c r="I60" s="1" t="n">
        <v>0.333333333333333</v>
      </c>
      <c r="J60" s="1" t="n">
        <v>0</v>
      </c>
    </row>
    <row r="61" customFormat="false" ht="15" hidden="false" customHeight="false" outlineLevel="0" collapsed="false">
      <c r="A61" s="1" t="s">
        <v>67</v>
      </c>
      <c r="B61" s="1" t="s">
        <v>17</v>
      </c>
      <c r="C61" s="1" t="s">
        <v>13</v>
      </c>
      <c r="D61" s="1" t="s">
        <v>14</v>
      </c>
      <c r="E61" s="1" t="n">
        <v>0.409523809523809</v>
      </c>
      <c r="F61" s="1" t="n">
        <v>0.333333333333333</v>
      </c>
      <c r="G61" s="1" t="n">
        <v>0.193693693693694</v>
      </c>
      <c r="H61" s="1" t="n">
        <v>0.136507936507937</v>
      </c>
      <c r="I61" s="1" t="n">
        <v>0.333333333333333</v>
      </c>
      <c r="J61" s="1" t="n">
        <v>0</v>
      </c>
    </row>
    <row r="62" customFormat="false" ht="15" hidden="false" customHeight="false" outlineLevel="0" collapsed="false">
      <c r="A62" s="1" t="s">
        <v>62</v>
      </c>
      <c r="B62" s="1" t="s">
        <v>23</v>
      </c>
      <c r="C62" s="1" t="s">
        <v>13</v>
      </c>
      <c r="D62" s="1" t="s">
        <v>14</v>
      </c>
      <c r="E62" s="1" t="n">
        <v>0.406349206349206</v>
      </c>
      <c r="F62" s="1" t="n">
        <v>0.449678198870705</v>
      </c>
      <c r="G62" s="1" t="n">
        <v>0.382929298128044</v>
      </c>
      <c r="H62" s="1" t="n">
        <v>0.399198948493278</v>
      </c>
      <c r="I62" s="1" t="n">
        <v>0.449678198870705</v>
      </c>
      <c r="J62" s="1" t="n">
        <v>0.0946711650723732</v>
      </c>
    </row>
    <row r="63" customFormat="false" ht="15" hidden="false" customHeight="false" outlineLevel="0" collapsed="false">
      <c r="A63" s="1" t="s">
        <v>52</v>
      </c>
      <c r="B63" s="1" t="s">
        <v>23</v>
      </c>
      <c r="C63" s="1" t="s">
        <v>13</v>
      </c>
      <c r="D63" s="1" t="s">
        <v>14</v>
      </c>
      <c r="E63" s="1" t="n">
        <v>0.388888888888889</v>
      </c>
      <c r="F63" s="1" t="n">
        <v>0.435466312565796</v>
      </c>
      <c r="G63" s="1" t="n">
        <v>0.375972703844319</v>
      </c>
      <c r="H63" s="1" t="n">
        <v>0.367804060425307</v>
      </c>
      <c r="I63" s="1" t="n">
        <v>0.435466312565796</v>
      </c>
      <c r="J63" s="1" t="n">
        <v>0.0754261987999821</v>
      </c>
    </row>
    <row r="64" customFormat="false" ht="15" hidden="false" customHeight="false" outlineLevel="0" collapsed="false">
      <c r="A64" s="1" t="s">
        <v>21</v>
      </c>
      <c r="B64" s="1" t="s">
        <v>17</v>
      </c>
      <c r="C64" s="1" t="s">
        <v>13</v>
      </c>
      <c r="D64" s="1" t="s">
        <v>74</v>
      </c>
      <c r="E64" s="1" t="n">
        <v>0.628571428571428</v>
      </c>
      <c r="F64" s="1" t="n">
        <v>0.623301272849076</v>
      </c>
      <c r="G64" s="1" t="n">
        <v>0.645525145557817</v>
      </c>
      <c r="H64" s="1" t="n">
        <v>0.692264634978648</v>
      </c>
      <c r="I64" s="1" t="n">
        <v>0.623301272849076</v>
      </c>
      <c r="J64" s="1" t="n">
        <v>0.0585530064117776</v>
      </c>
    </row>
    <row r="65" customFormat="false" ht="15" hidden="false" customHeight="false" outlineLevel="0" collapsed="false">
      <c r="A65" s="1" t="s">
        <v>70</v>
      </c>
      <c r="B65" s="1" t="s">
        <v>1</v>
      </c>
      <c r="C65" s="1" t="s">
        <v>13</v>
      </c>
      <c r="D65" s="1" t="s">
        <v>74</v>
      </c>
      <c r="E65" s="1" t="n">
        <v>0.626984126984127</v>
      </c>
      <c r="F65" s="1" t="n">
        <v>0.668544836826491</v>
      </c>
      <c r="G65" s="1" t="n">
        <v>0.692171146323555</v>
      </c>
      <c r="H65" s="1" t="n">
        <v>0.725234872803423</v>
      </c>
      <c r="I65" s="1" t="n">
        <v>0.668544836826491</v>
      </c>
      <c r="J65" s="1" t="n">
        <v>0.0350711803475296</v>
      </c>
    </row>
    <row r="66" customFormat="false" ht="15" hidden="false" customHeight="false" outlineLevel="0" collapsed="false">
      <c r="A66" s="1" t="s">
        <v>15</v>
      </c>
      <c r="B66" s="1" t="s">
        <v>1</v>
      </c>
      <c r="C66" s="1" t="s">
        <v>13</v>
      </c>
      <c r="D66" s="1" t="s">
        <v>74</v>
      </c>
      <c r="E66" s="1" t="n">
        <v>0.623809523809524</v>
      </c>
      <c r="F66" s="1" t="n">
        <v>0.657150205761317</v>
      </c>
      <c r="G66" s="1" t="n">
        <v>0.678085360606034</v>
      </c>
      <c r="H66" s="1" t="n">
        <v>0.719588639931398</v>
      </c>
      <c r="I66" s="1" t="n">
        <v>0.657150205761317</v>
      </c>
      <c r="J66" s="1" t="n">
        <v>0.0538546358181008</v>
      </c>
    </row>
    <row r="67" customFormat="false" ht="15" hidden="false" customHeight="false" outlineLevel="0" collapsed="false">
      <c r="A67" s="1" t="s">
        <v>17</v>
      </c>
      <c r="B67" s="1" t="s">
        <v>17</v>
      </c>
      <c r="C67" s="1" t="s">
        <v>18</v>
      </c>
      <c r="D67" s="1" t="s">
        <v>74</v>
      </c>
      <c r="E67" s="1" t="n">
        <v>0.612698412698413</v>
      </c>
      <c r="F67" s="1" t="n">
        <v>0.585929275528759</v>
      </c>
      <c r="G67" s="1" t="n">
        <v>0.614803297724859</v>
      </c>
      <c r="H67" s="1" t="n">
        <v>0.67328214115999</v>
      </c>
      <c r="I67" s="1" t="n">
        <v>0.585929275528759</v>
      </c>
      <c r="J67" s="1" t="n">
        <v>0.0923588354162551</v>
      </c>
    </row>
    <row r="68" customFormat="false" ht="15" hidden="false" customHeight="false" outlineLevel="0" collapsed="false">
      <c r="A68" s="1" t="s">
        <v>68</v>
      </c>
      <c r="B68" s="1" t="s">
        <v>17</v>
      </c>
      <c r="C68" s="1" t="s">
        <v>13</v>
      </c>
      <c r="D68" s="1" t="s">
        <v>74</v>
      </c>
      <c r="E68" s="1" t="n">
        <v>0.606349206349206</v>
      </c>
      <c r="F68" s="1" t="n">
        <v>0.607582065269404</v>
      </c>
      <c r="G68" s="1" t="n">
        <v>0.633487406607997</v>
      </c>
      <c r="H68" s="1" t="n">
        <v>0.684019274518795</v>
      </c>
      <c r="I68" s="1" t="n">
        <v>0.607582065269404</v>
      </c>
      <c r="J68" s="1" t="n">
        <v>0.0426171507341887</v>
      </c>
    </row>
    <row r="69" customFormat="false" ht="15" hidden="false" customHeight="false" outlineLevel="0" collapsed="false">
      <c r="A69" s="1" t="s">
        <v>26</v>
      </c>
      <c r="B69" s="1" t="s">
        <v>26</v>
      </c>
      <c r="C69" s="1" t="s">
        <v>18</v>
      </c>
      <c r="D69" s="1" t="s">
        <v>74</v>
      </c>
      <c r="E69" s="1" t="n">
        <v>0.6</v>
      </c>
      <c r="F69" s="1" t="n">
        <v>0.543784094171691</v>
      </c>
      <c r="G69" s="1" t="n">
        <v>0.573021530508566</v>
      </c>
      <c r="H69" s="1" t="n">
        <v>0.697409819527819</v>
      </c>
      <c r="I69" s="1" t="n">
        <v>0.543784094171691</v>
      </c>
      <c r="J69" s="1" t="n">
        <v>0.0748605475210948</v>
      </c>
    </row>
    <row r="70" customFormat="false" ht="15" hidden="false" customHeight="false" outlineLevel="0" collapsed="false">
      <c r="A70" s="1" t="s">
        <v>37</v>
      </c>
      <c r="B70" s="1" t="s">
        <v>23</v>
      </c>
      <c r="C70" s="1" t="s">
        <v>13</v>
      </c>
      <c r="D70" s="1" t="s">
        <v>74</v>
      </c>
      <c r="E70" s="1" t="n">
        <v>0.596825396825397</v>
      </c>
      <c r="F70" s="1" t="n">
        <v>0.632955306727917</v>
      </c>
      <c r="G70" s="1" t="n">
        <v>0.628399075246252</v>
      </c>
      <c r="H70" s="1" t="n">
        <v>0.644924348187804</v>
      </c>
      <c r="I70" s="1" t="n">
        <v>0.632955306727917</v>
      </c>
      <c r="J70" s="1" t="n">
        <v>0.0485328180556031</v>
      </c>
    </row>
    <row r="71" customFormat="false" ht="15" hidden="false" customHeight="false" outlineLevel="0" collapsed="false">
      <c r="A71" s="1" t="s">
        <v>16</v>
      </c>
      <c r="B71" s="1" t="s">
        <v>1</v>
      </c>
      <c r="C71" s="1" t="s">
        <v>13</v>
      </c>
      <c r="D71" s="1" t="s">
        <v>74</v>
      </c>
      <c r="E71" s="1" t="n">
        <v>0.595238095238095</v>
      </c>
      <c r="F71" s="1" t="n">
        <v>0.638368504163078</v>
      </c>
      <c r="G71" s="1" t="n">
        <v>0.661321975678414</v>
      </c>
      <c r="H71" s="1" t="n">
        <v>0.696217336919463</v>
      </c>
      <c r="I71" s="1" t="n">
        <v>0.638368504163078</v>
      </c>
      <c r="J71" s="1" t="n">
        <v>0.0340409761355356</v>
      </c>
    </row>
    <row r="72" customFormat="false" ht="15" hidden="false" customHeight="false" outlineLevel="0" collapsed="false">
      <c r="A72" s="1" t="s">
        <v>65</v>
      </c>
      <c r="B72" s="1" t="s">
        <v>17</v>
      </c>
      <c r="C72" s="1" t="s">
        <v>13</v>
      </c>
      <c r="D72" s="1" t="s">
        <v>74</v>
      </c>
      <c r="E72" s="1" t="n">
        <v>0.588888888888889</v>
      </c>
      <c r="F72" s="1" t="n">
        <v>0.624001100583788</v>
      </c>
      <c r="G72" s="1" t="n">
        <v>0.636502936393981</v>
      </c>
      <c r="H72" s="1" t="n">
        <v>0.65835233408538</v>
      </c>
      <c r="I72" s="1" t="n">
        <v>0.624001100583788</v>
      </c>
      <c r="J72" s="1" t="n">
        <v>0.037350465913707</v>
      </c>
    </row>
    <row r="73" customFormat="false" ht="15" hidden="false" customHeight="false" outlineLevel="0" collapsed="false">
      <c r="A73" s="1" t="s">
        <v>12</v>
      </c>
      <c r="B73" s="1" t="s">
        <v>1</v>
      </c>
      <c r="C73" s="1" t="s">
        <v>13</v>
      </c>
      <c r="D73" s="1" t="s">
        <v>74</v>
      </c>
      <c r="E73" s="1" t="n">
        <v>0.587301587301587</v>
      </c>
      <c r="F73" s="1" t="n">
        <v>0.631119006603503</v>
      </c>
      <c r="G73" s="1" t="n">
        <v>0.652959996061027</v>
      </c>
      <c r="H73" s="1" t="n">
        <v>0.690227638612908</v>
      </c>
      <c r="I73" s="1" t="n">
        <v>0.631119006603503</v>
      </c>
      <c r="J73" s="1" t="n">
        <v>0.0202081213937866</v>
      </c>
    </row>
    <row r="74" customFormat="false" ht="15" hidden="false" customHeight="false" outlineLevel="0" collapsed="false">
      <c r="A74" s="1" t="s">
        <v>30</v>
      </c>
      <c r="B74" s="1" t="s">
        <v>26</v>
      </c>
      <c r="C74" s="1" t="s">
        <v>13</v>
      </c>
      <c r="D74" s="1" t="s">
        <v>74</v>
      </c>
      <c r="E74" s="1" t="n">
        <v>0.580952380952381</v>
      </c>
      <c r="F74" s="1" t="n">
        <v>0.530248109866973</v>
      </c>
      <c r="G74" s="1" t="n">
        <v>0.561605346086687</v>
      </c>
      <c r="H74" s="1" t="n">
        <v>0.661191439872667</v>
      </c>
      <c r="I74" s="1" t="n">
        <v>0.530248109866973</v>
      </c>
      <c r="J74" s="1" t="n">
        <v>0.0550468964308191</v>
      </c>
    </row>
    <row r="75" customFormat="false" ht="15" hidden="false" customHeight="false" outlineLevel="0" collapsed="false">
      <c r="A75" s="1" t="s">
        <v>60</v>
      </c>
      <c r="B75" s="1" t="s">
        <v>26</v>
      </c>
      <c r="C75" s="1" t="s">
        <v>13</v>
      </c>
      <c r="D75" s="1" t="s">
        <v>74</v>
      </c>
      <c r="E75" s="1" t="n">
        <v>0.580952380952381</v>
      </c>
      <c r="F75" s="1" t="n">
        <v>0.551290793377357</v>
      </c>
      <c r="G75" s="1" t="n">
        <v>0.587536315900805</v>
      </c>
      <c r="H75" s="1" t="n">
        <v>0.701977271577471</v>
      </c>
      <c r="I75" s="1" t="n">
        <v>0.551290793377357</v>
      </c>
      <c r="J75" s="1" t="n">
        <v>0.0776503581460581</v>
      </c>
    </row>
    <row r="76" customFormat="false" ht="15" hidden="false" customHeight="false" outlineLevel="0" collapsed="false">
      <c r="A76" s="1" t="s">
        <v>64</v>
      </c>
      <c r="B76" s="1" t="s">
        <v>23</v>
      </c>
      <c r="C76" s="1" t="s">
        <v>13</v>
      </c>
      <c r="D76" s="1" t="s">
        <v>74</v>
      </c>
      <c r="E76" s="1" t="n">
        <v>0.577777777777778</v>
      </c>
      <c r="F76" s="1" t="n">
        <v>0.604316202507417</v>
      </c>
      <c r="G76" s="1" t="n">
        <v>0.591001611807616</v>
      </c>
      <c r="H76" s="1" t="n">
        <v>0.588446728517555</v>
      </c>
      <c r="I76" s="1" t="n">
        <v>0.604316202507417</v>
      </c>
      <c r="J76" s="1" t="n">
        <v>0.0677274044761598</v>
      </c>
    </row>
    <row r="77" customFormat="false" ht="15" hidden="false" customHeight="false" outlineLevel="0" collapsed="false">
      <c r="A77" s="1" t="s">
        <v>20</v>
      </c>
      <c r="B77" s="1" t="s">
        <v>17</v>
      </c>
      <c r="C77" s="1" t="s">
        <v>13</v>
      </c>
      <c r="D77" s="1" t="s">
        <v>74</v>
      </c>
      <c r="E77" s="1" t="n">
        <v>0.577777777777778</v>
      </c>
      <c r="F77" s="1" t="n">
        <v>0.60575772801225</v>
      </c>
      <c r="G77" s="1" t="n">
        <v>0.630757586805537</v>
      </c>
      <c r="H77" s="1" t="n">
        <v>0.674529096741207</v>
      </c>
      <c r="I77" s="1" t="n">
        <v>0.60575772801225</v>
      </c>
      <c r="J77" s="1" t="n">
        <v>0.0553807334720034</v>
      </c>
    </row>
    <row r="78" customFormat="false" ht="15" hidden="false" customHeight="false" outlineLevel="0" collapsed="false">
      <c r="A78" s="1" t="s">
        <v>69</v>
      </c>
      <c r="B78" s="1" t="s">
        <v>1</v>
      </c>
      <c r="C78" s="1" t="s">
        <v>13</v>
      </c>
      <c r="D78" s="1" t="s">
        <v>74</v>
      </c>
      <c r="E78" s="1" t="n">
        <v>0.576190476190476</v>
      </c>
      <c r="F78" s="1" t="n">
        <v>0.631537706957604</v>
      </c>
      <c r="G78" s="1" t="n">
        <v>0.627710163125307</v>
      </c>
      <c r="H78" s="1" t="n">
        <v>0.685370911937786</v>
      </c>
      <c r="I78" s="1" t="n">
        <v>0.631537706957604</v>
      </c>
      <c r="J78" s="1" t="n">
        <v>0.0316390658254618</v>
      </c>
    </row>
    <row r="79" customFormat="false" ht="15" hidden="false" customHeight="false" outlineLevel="0" collapsed="false">
      <c r="A79" s="1" t="s">
        <v>25</v>
      </c>
      <c r="B79" s="1" t="s">
        <v>26</v>
      </c>
      <c r="C79" s="1" t="s">
        <v>13</v>
      </c>
      <c r="D79" s="1" t="s">
        <v>74</v>
      </c>
      <c r="E79" s="1" t="n">
        <v>0.574603174603175</v>
      </c>
      <c r="F79" s="1" t="n">
        <v>0.56741673844387</v>
      </c>
      <c r="G79" s="1" t="n">
        <v>0.60296258693508</v>
      </c>
      <c r="H79" s="1" t="n">
        <v>0.691452539780625</v>
      </c>
      <c r="I79" s="1" t="n">
        <v>0.56741673844387</v>
      </c>
      <c r="J79" s="1" t="n">
        <v>0.0332121280263384</v>
      </c>
    </row>
    <row r="80" customFormat="false" ht="15" hidden="false" customHeight="false" outlineLevel="0" collapsed="false">
      <c r="A80" s="1" t="s">
        <v>73</v>
      </c>
      <c r="B80" s="1" t="s">
        <v>1</v>
      </c>
      <c r="C80" s="1" t="s">
        <v>13</v>
      </c>
      <c r="D80" s="1" t="s">
        <v>74</v>
      </c>
      <c r="E80" s="1" t="n">
        <v>0.571428571428572</v>
      </c>
      <c r="F80" s="1" t="n">
        <v>0.592042300698631</v>
      </c>
      <c r="G80" s="1" t="n">
        <v>0.619292076443137</v>
      </c>
      <c r="H80" s="1" t="n">
        <v>0.688573842881895</v>
      </c>
      <c r="I80" s="1" t="n">
        <v>0.592042300698631</v>
      </c>
      <c r="J80" s="1" t="n">
        <v>0.0717526509501444</v>
      </c>
    </row>
    <row r="81" customFormat="false" ht="15" hidden="false" customHeight="false" outlineLevel="0" collapsed="false">
      <c r="A81" s="1" t="s">
        <v>57</v>
      </c>
      <c r="B81" s="1" t="s">
        <v>26</v>
      </c>
      <c r="C81" s="1" t="s">
        <v>13</v>
      </c>
      <c r="D81" s="1" t="s">
        <v>74</v>
      </c>
      <c r="E81" s="1" t="n">
        <v>0.56984126984127</v>
      </c>
      <c r="F81" s="1" t="n">
        <v>0.541720499569337</v>
      </c>
      <c r="G81" s="1" t="n">
        <v>0.57348457171827</v>
      </c>
      <c r="H81" s="1" t="n">
        <v>0.674017871328796</v>
      </c>
      <c r="I81" s="1" t="n">
        <v>0.541720499569337</v>
      </c>
      <c r="J81" s="1" t="n">
        <v>0.0718662860194748</v>
      </c>
    </row>
    <row r="82" customFormat="false" ht="15" hidden="false" customHeight="false" outlineLevel="0" collapsed="false">
      <c r="A82" s="1" t="s">
        <v>61</v>
      </c>
      <c r="B82" s="1" t="s">
        <v>23</v>
      </c>
      <c r="C82" s="1" t="s">
        <v>13</v>
      </c>
      <c r="D82" s="1" t="s">
        <v>74</v>
      </c>
      <c r="E82" s="1" t="n">
        <v>0.568253968253968</v>
      </c>
      <c r="F82" s="1" t="n">
        <v>0.587490429706192</v>
      </c>
      <c r="G82" s="1" t="n">
        <v>0.598630210562941</v>
      </c>
      <c r="H82" s="1" t="n">
        <v>0.624377613431722</v>
      </c>
      <c r="I82" s="1" t="n">
        <v>0.587490429706192</v>
      </c>
      <c r="J82" s="1" t="n">
        <v>0.0259315126729726</v>
      </c>
    </row>
    <row r="83" customFormat="false" ht="15" hidden="false" customHeight="false" outlineLevel="0" collapsed="false">
      <c r="A83" s="1" t="s">
        <v>24</v>
      </c>
      <c r="B83" s="1" t="s">
        <v>23</v>
      </c>
      <c r="C83" s="1" t="s">
        <v>13</v>
      </c>
      <c r="D83" s="1" t="s">
        <v>74</v>
      </c>
      <c r="E83" s="1" t="n">
        <v>0.566666666666667</v>
      </c>
      <c r="F83" s="1" t="n">
        <v>0.614987080103359</v>
      </c>
      <c r="G83" s="1" t="n">
        <v>0.619981313360134</v>
      </c>
      <c r="H83" s="1" t="n">
        <v>0.633814387248616</v>
      </c>
      <c r="I83" s="1" t="n">
        <v>0.614987080103359</v>
      </c>
      <c r="J83" s="1" t="n">
        <v>0.0383580000550171</v>
      </c>
    </row>
    <row r="84" customFormat="false" ht="15" hidden="false" customHeight="false" outlineLevel="0" collapsed="false">
      <c r="A84" s="1" t="s">
        <v>34</v>
      </c>
      <c r="B84" s="1" t="s">
        <v>17</v>
      </c>
      <c r="C84" s="1" t="s">
        <v>13</v>
      </c>
      <c r="D84" s="1" t="s">
        <v>74</v>
      </c>
      <c r="E84" s="1" t="n">
        <v>0.565079365079365</v>
      </c>
      <c r="F84" s="1" t="n">
        <v>0.574905493348646</v>
      </c>
      <c r="G84" s="1" t="n">
        <v>0.563983131833117</v>
      </c>
      <c r="H84" s="1" t="n">
        <v>0.593407396373574</v>
      </c>
      <c r="I84" s="1" t="n">
        <v>0.574905493348646</v>
      </c>
      <c r="J84" s="1" t="n">
        <v>0.126065219076143</v>
      </c>
    </row>
    <row r="85" customFormat="false" ht="15" hidden="false" customHeight="false" outlineLevel="0" collapsed="false">
      <c r="A85" s="1" t="s">
        <v>35</v>
      </c>
      <c r="B85" s="1" t="s">
        <v>26</v>
      </c>
      <c r="C85" s="1" t="s">
        <v>13</v>
      </c>
      <c r="D85" s="1" t="s">
        <v>74</v>
      </c>
      <c r="E85" s="1" t="n">
        <v>0.561904761904762</v>
      </c>
      <c r="F85" s="1" t="n">
        <v>0.505544788975021</v>
      </c>
      <c r="G85" s="1" t="n">
        <v>0.526751951943029</v>
      </c>
      <c r="H85" s="1" t="n">
        <v>0.66155590911546</v>
      </c>
      <c r="I85" s="1" t="n">
        <v>0.505544788975021</v>
      </c>
      <c r="J85" s="1" t="n">
        <v>0.055170049647091</v>
      </c>
    </row>
    <row r="86" customFormat="false" ht="15" hidden="false" customHeight="false" outlineLevel="0" collapsed="false">
      <c r="A86" s="1" t="s">
        <v>1</v>
      </c>
      <c r="B86" s="1" t="s">
        <v>1</v>
      </c>
      <c r="C86" s="1" t="s">
        <v>18</v>
      </c>
      <c r="D86" s="1" t="s">
        <v>74</v>
      </c>
      <c r="E86" s="1" t="n">
        <v>0.555555555555556</v>
      </c>
      <c r="F86" s="1" t="n">
        <v>0.467251650875682</v>
      </c>
      <c r="G86" s="1" t="n">
        <v>0.50341962605854</v>
      </c>
      <c r="H86" s="1" t="n">
        <v>0.691760896968956</v>
      </c>
      <c r="I86" s="1" t="n">
        <v>0.467251650875682</v>
      </c>
      <c r="J86" s="1" t="n">
        <v>0.0360138808438906</v>
      </c>
    </row>
    <row r="87" customFormat="false" ht="15" hidden="false" customHeight="false" outlineLevel="0" collapsed="false">
      <c r="A87" s="1" t="s">
        <v>22</v>
      </c>
      <c r="B87" s="1" t="s">
        <v>23</v>
      </c>
      <c r="C87" s="1" t="s">
        <v>13</v>
      </c>
      <c r="D87" s="1" t="s">
        <v>74</v>
      </c>
      <c r="E87" s="1" t="n">
        <v>0.552380952380952</v>
      </c>
      <c r="F87" s="1" t="n">
        <v>0.611117092544741</v>
      </c>
      <c r="G87" s="1" t="n">
        <v>0.614762918310539</v>
      </c>
      <c r="H87" s="1" t="n">
        <v>0.637007589827053</v>
      </c>
      <c r="I87" s="1" t="n">
        <v>0.611117092544741</v>
      </c>
      <c r="J87" s="1" t="n">
        <v>0.0495646918516601</v>
      </c>
    </row>
    <row r="88" customFormat="false" ht="15" hidden="false" customHeight="false" outlineLevel="0" collapsed="false">
      <c r="A88" s="1" t="s">
        <v>36</v>
      </c>
      <c r="B88" s="1" t="s">
        <v>26</v>
      </c>
      <c r="C88" s="1" t="s">
        <v>13</v>
      </c>
      <c r="D88" s="1" t="s">
        <v>74</v>
      </c>
      <c r="E88" s="1" t="n">
        <v>0.547619047619048</v>
      </c>
      <c r="F88" s="1" t="n">
        <v>0.523231888218968</v>
      </c>
      <c r="G88" s="1" t="n">
        <v>0.540247783126439</v>
      </c>
      <c r="H88" s="1" t="n">
        <v>0.650720981940268</v>
      </c>
      <c r="I88" s="1" t="n">
        <v>0.523231888218968</v>
      </c>
      <c r="J88" s="1" t="n">
        <v>0.0621429657500154</v>
      </c>
    </row>
    <row r="89" customFormat="false" ht="15" hidden="false" customHeight="false" outlineLevel="0" collapsed="false">
      <c r="A89" s="1" t="s">
        <v>28</v>
      </c>
      <c r="B89" s="1" t="s">
        <v>26</v>
      </c>
      <c r="C89" s="1" t="s">
        <v>13</v>
      </c>
      <c r="D89" s="1" t="s">
        <v>74</v>
      </c>
      <c r="E89" s="1" t="n">
        <v>0.547619047619048</v>
      </c>
      <c r="F89" s="1" t="n">
        <v>0.554789932050914</v>
      </c>
      <c r="G89" s="1" t="n">
        <v>0.579342423897432</v>
      </c>
      <c r="H89" s="1" t="n">
        <v>0.646871748917173</v>
      </c>
      <c r="I89" s="1" t="n">
        <v>0.554789932050914</v>
      </c>
      <c r="J89" s="1" t="n">
        <v>0.0496475181963865</v>
      </c>
    </row>
    <row r="90" customFormat="false" ht="15" hidden="false" customHeight="false" outlineLevel="0" collapsed="false">
      <c r="A90" s="1" t="s">
        <v>29</v>
      </c>
      <c r="B90" s="1" t="s">
        <v>17</v>
      </c>
      <c r="C90" s="1" t="s">
        <v>13</v>
      </c>
      <c r="D90" s="1" t="s">
        <v>74</v>
      </c>
      <c r="E90" s="1" t="n">
        <v>0.546031746031746</v>
      </c>
      <c r="F90" s="1" t="n">
        <v>0.547043975500048</v>
      </c>
      <c r="G90" s="1" t="n">
        <v>0.544379478653342</v>
      </c>
      <c r="H90" s="1" t="n">
        <v>0.598936239279326</v>
      </c>
      <c r="I90" s="1" t="n">
        <v>0.547043975500048</v>
      </c>
      <c r="J90" s="1" t="n">
        <v>0.0711222926985824</v>
      </c>
    </row>
    <row r="91" customFormat="false" ht="15" hidden="false" customHeight="false" outlineLevel="0" collapsed="false">
      <c r="A91" s="1" t="s">
        <v>27</v>
      </c>
      <c r="B91" s="1" t="s">
        <v>23</v>
      </c>
      <c r="C91" s="1" t="s">
        <v>13</v>
      </c>
      <c r="D91" s="1" t="s">
        <v>74</v>
      </c>
      <c r="E91" s="1" t="n">
        <v>0.541269841269841</v>
      </c>
      <c r="F91" s="1" t="n">
        <v>0.579989711934156</v>
      </c>
      <c r="G91" s="1" t="n">
        <v>0.584769094498338</v>
      </c>
      <c r="H91" s="1" t="n">
        <v>0.603552761400784</v>
      </c>
      <c r="I91" s="1" t="n">
        <v>0.579989711934156</v>
      </c>
      <c r="J91" s="1" t="n">
        <v>0.0510210889058144</v>
      </c>
    </row>
    <row r="92" customFormat="false" ht="15" hidden="false" customHeight="false" outlineLevel="0" collapsed="false">
      <c r="A92" s="1" t="s">
        <v>41</v>
      </c>
      <c r="B92" s="1" t="s">
        <v>23</v>
      </c>
      <c r="C92" s="1" t="s">
        <v>13</v>
      </c>
      <c r="D92" s="1" t="s">
        <v>74</v>
      </c>
      <c r="E92" s="1" t="n">
        <v>0.538095238095238</v>
      </c>
      <c r="F92" s="1" t="n">
        <v>0.580288783615657</v>
      </c>
      <c r="G92" s="1" t="n">
        <v>0.548044586789905</v>
      </c>
      <c r="H92" s="1" t="n">
        <v>0.565384186910886</v>
      </c>
      <c r="I92" s="1" t="n">
        <v>0.580288783615657</v>
      </c>
      <c r="J92" s="1" t="n">
        <v>0.0701040648424541</v>
      </c>
    </row>
    <row r="93" customFormat="false" ht="15" hidden="false" customHeight="false" outlineLevel="0" collapsed="false">
      <c r="A93" s="1" t="s">
        <v>31</v>
      </c>
      <c r="B93" s="1" t="s">
        <v>1</v>
      </c>
      <c r="C93" s="1" t="s">
        <v>13</v>
      </c>
      <c r="D93" s="1" t="s">
        <v>74</v>
      </c>
      <c r="E93" s="1" t="n">
        <v>0.538095238095238</v>
      </c>
      <c r="F93" s="1" t="n">
        <v>0.630520863240501</v>
      </c>
      <c r="G93" s="1" t="n">
        <v>0.570418698473059</v>
      </c>
      <c r="H93" s="1" t="n">
        <v>0.549802718372996</v>
      </c>
      <c r="I93" s="1" t="n">
        <v>0.630520863240501</v>
      </c>
      <c r="J93" s="1" t="n">
        <v>0.0442451652540843</v>
      </c>
    </row>
    <row r="94" customFormat="false" ht="15" hidden="false" customHeight="false" outlineLevel="0" collapsed="false">
      <c r="A94" s="1" t="s">
        <v>23</v>
      </c>
      <c r="B94" s="1" t="s">
        <v>23</v>
      </c>
      <c r="C94" s="1" t="s">
        <v>18</v>
      </c>
      <c r="D94" s="1" t="s">
        <v>74</v>
      </c>
      <c r="E94" s="1" t="n">
        <v>0.533333333333333</v>
      </c>
      <c r="F94" s="1" t="n">
        <v>0.527783759211408</v>
      </c>
      <c r="G94" s="1" t="n">
        <v>0.540424141351093</v>
      </c>
      <c r="H94" s="1" t="n">
        <v>0.581251503251294</v>
      </c>
      <c r="I94" s="1" t="n">
        <v>0.527783759211408</v>
      </c>
      <c r="J94" s="1" t="n">
        <v>0.0974102591795836</v>
      </c>
    </row>
    <row r="95" customFormat="false" ht="15" hidden="false" customHeight="false" outlineLevel="0" collapsed="false">
      <c r="A95" s="1" t="s">
        <v>19</v>
      </c>
      <c r="B95" s="1" t="s">
        <v>17</v>
      </c>
      <c r="C95" s="1" t="s">
        <v>13</v>
      </c>
      <c r="D95" s="1" t="s">
        <v>74</v>
      </c>
      <c r="E95" s="1" t="n">
        <v>0.531746031746032</v>
      </c>
      <c r="F95" s="1" t="n">
        <v>0.553701311130252</v>
      </c>
      <c r="G95" s="1" t="n">
        <v>0.573261434036169</v>
      </c>
      <c r="H95" s="1" t="n">
        <v>0.606276998237595</v>
      </c>
      <c r="I95" s="1" t="n">
        <v>0.553701311130252</v>
      </c>
      <c r="J95" s="1" t="n">
        <v>0.071713942803459</v>
      </c>
    </row>
    <row r="96" customFormat="false" ht="15" hidden="false" customHeight="false" outlineLevel="0" collapsed="false">
      <c r="A96" s="1" t="s">
        <v>40</v>
      </c>
      <c r="B96" s="1" t="s">
        <v>1</v>
      </c>
      <c r="C96" s="1" t="s">
        <v>13</v>
      </c>
      <c r="D96" s="1" t="s">
        <v>74</v>
      </c>
      <c r="E96" s="1" t="n">
        <v>0.53015873015873</v>
      </c>
      <c r="F96" s="1" t="n">
        <v>0.617493300794334</v>
      </c>
      <c r="G96" s="1" t="n">
        <v>0.563794612330483</v>
      </c>
      <c r="H96" s="1" t="n">
        <v>0.553767722925173</v>
      </c>
      <c r="I96" s="1" t="n">
        <v>0.617493300794334</v>
      </c>
      <c r="J96" s="1" t="n">
        <v>0.0639168435797954</v>
      </c>
    </row>
    <row r="97" customFormat="false" ht="15" hidden="false" customHeight="false" outlineLevel="0" collapsed="false">
      <c r="A97" s="1" t="s">
        <v>33</v>
      </c>
      <c r="B97" s="1" t="s">
        <v>1</v>
      </c>
      <c r="C97" s="1" t="s">
        <v>13</v>
      </c>
      <c r="D97" s="1" t="s">
        <v>74</v>
      </c>
      <c r="E97" s="1" t="n">
        <v>0.528571428571429</v>
      </c>
      <c r="F97" s="1" t="n">
        <v>0.572536845631161</v>
      </c>
      <c r="G97" s="1" t="n">
        <v>0.556636091601452</v>
      </c>
      <c r="H97" s="1" t="n">
        <v>0.588664189182273</v>
      </c>
      <c r="I97" s="1" t="n">
        <v>0.572536845631161</v>
      </c>
      <c r="J97" s="1" t="n">
        <v>0.0904411975936404</v>
      </c>
    </row>
    <row r="98" customFormat="false" ht="15" hidden="false" customHeight="false" outlineLevel="0" collapsed="false">
      <c r="A98" s="1" t="s">
        <v>58</v>
      </c>
      <c r="B98" s="1" t="s">
        <v>26</v>
      </c>
      <c r="C98" s="1" t="s">
        <v>13</v>
      </c>
      <c r="D98" s="1" t="s">
        <v>74</v>
      </c>
      <c r="E98" s="1" t="n">
        <v>0.515873015873016</v>
      </c>
      <c r="F98" s="1" t="n">
        <v>0.56233850129199</v>
      </c>
      <c r="G98" s="1" t="n">
        <v>0.494233743226759</v>
      </c>
      <c r="H98" s="1" t="n">
        <v>0.483549884714638</v>
      </c>
      <c r="I98" s="1" t="n">
        <v>0.56233850129199</v>
      </c>
      <c r="J98" s="1" t="n">
        <v>0.0527079213715086</v>
      </c>
    </row>
    <row r="99" customFormat="false" ht="15" hidden="false" customHeight="false" outlineLevel="0" collapsed="false">
      <c r="A99" s="1" t="s">
        <v>71</v>
      </c>
      <c r="B99" s="1" t="s">
        <v>1</v>
      </c>
      <c r="C99" s="1" t="s">
        <v>13</v>
      </c>
      <c r="D99" s="1" t="s">
        <v>74</v>
      </c>
      <c r="E99" s="1" t="n">
        <v>0.511111111111111</v>
      </c>
      <c r="F99" s="1" t="n">
        <v>0.609484161163748</v>
      </c>
      <c r="G99" s="1" t="n">
        <v>0.54225088569581</v>
      </c>
      <c r="H99" s="1" t="n">
        <v>0.531315261242744</v>
      </c>
      <c r="I99" s="1" t="n">
        <v>0.609484161163748</v>
      </c>
      <c r="J99" s="1" t="n">
        <v>0.0490789655175044</v>
      </c>
    </row>
    <row r="100" customFormat="false" ht="15" hidden="false" customHeight="false" outlineLevel="0" collapsed="false">
      <c r="A100" s="1" t="s">
        <v>42</v>
      </c>
      <c r="B100" s="1" t="s">
        <v>1</v>
      </c>
      <c r="C100" s="1" t="s">
        <v>13</v>
      </c>
      <c r="D100" s="1" t="s">
        <v>74</v>
      </c>
      <c r="E100" s="1" t="n">
        <v>0.503174603174603</v>
      </c>
      <c r="F100" s="1" t="n">
        <v>0.583171834625323</v>
      </c>
      <c r="G100" s="1" t="n">
        <v>0.519121555523594</v>
      </c>
      <c r="H100" s="1" t="n">
        <v>0.509335479845076</v>
      </c>
      <c r="I100" s="1" t="n">
        <v>0.583171834625323</v>
      </c>
      <c r="J100" s="1" t="n">
        <v>0.0582179370231609</v>
      </c>
    </row>
    <row r="101" customFormat="false" ht="15" hidden="false" customHeight="false" outlineLevel="0" collapsed="false">
      <c r="A101" s="1" t="s">
        <v>72</v>
      </c>
      <c r="B101" s="1" t="s">
        <v>1</v>
      </c>
      <c r="C101" s="1" t="s">
        <v>13</v>
      </c>
      <c r="D101" s="1" t="s">
        <v>74</v>
      </c>
      <c r="E101" s="1" t="n">
        <v>0.501587301587302</v>
      </c>
      <c r="F101" s="1" t="n">
        <v>0.609753325677098</v>
      </c>
      <c r="G101" s="1" t="n">
        <v>0.525218263324747</v>
      </c>
      <c r="H101" s="1" t="n">
        <v>0.52053961618822</v>
      </c>
      <c r="I101" s="1" t="n">
        <v>0.609753325677098</v>
      </c>
      <c r="J101" s="1" t="n">
        <v>0.0535835381168568</v>
      </c>
    </row>
    <row r="102" customFormat="false" ht="15" hidden="false" customHeight="false" outlineLevel="0" collapsed="false">
      <c r="A102" s="1" t="s">
        <v>32</v>
      </c>
      <c r="B102" s="1" t="s">
        <v>1</v>
      </c>
      <c r="C102" s="1" t="s">
        <v>13</v>
      </c>
      <c r="D102" s="1" t="s">
        <v>74</v>
      </c>
      <c r="E102" s="1" t="n">
        <v>0.492063492063492</v>
      </c>
      <c r="F102" s="1" t="n">
        <v>0.577938080199062</v>
      </c>
      <c r="G102" s="1" t="n">
        <v>0.526124961041668</v>
      </c>
      <c r="H102" s="1" t="n">
        <v>0.509378853715853</v>
      </c>
      <c r="I102" s="1" t="n">
        <v>0.577938080199062</v>
      </c>
      <c r="J102" s="1" t="n">
        <v>0.0792959203824362</v>
      </c>
    </row>
    <row r="103" customFormat="false" ht="15" hidden="false" customHeight="false" outlineLevel="0" collapsed="false">
      <c r="A103" s="1" t="s">
        <v>38</v>
      </c>
      <c r="B103" s="1" t="s">
        <v>26</v>
      </c>
      <c r="C103" s="1" t="s">
        <v>13</v>
      </c>
      <c r="D103" s="1" t="s">
        <v>74</v>
      </c>
      <c r="E103" s="1" t="n">
        <v>0.485714285714286</v>
      </c>
      <c r="F103" s="1" t="n">
        <v>0.509014020480429</v>
      </c>
      <c r="G103" s="1" t="n">
        <v>0.483485747328719</v>
      </c>
      <c r="H103" s="1" t="n">
        <v>0.492244176325873</v>
      </c>
      <c r="I103" s="1" t="n">
        <v>0.509014020480429</v>
      </c>
      <c r="J103" s="1" t="n">
        <v>0.100954911901324</v>
      </c>
    </row>
    <row r="104" customFormat="false" ht="15" hidden="false" customHeight="false" outlineLevel="0" collapsed="false">
      <c r="A104" s="1" t="s">
        <v>39</v>
      </c>
      <c r="B104" s="1" t="s">
        <v>26</v>
      </c>
      <c r="C104" s="1" t="s">
        <v>13</v>
      </c>
      <c r="D104" s="1" t="s">
        <v>74</v>
      </c>
      <c r="E104" s="1" t="n">
        <v>0.484126984126984</v>
      </c>
      <c r="F104" s="1" t="n">
        <v>0.501016843717102</v>
      </c>
      <c r="G104" s="1" t="n">
        <v>0.449845788390115</v>
      </c>
      <c r="H104" s="1" t="n">
        <v>0.45521924758266</v>
      </c>
      <c r="I104" s="1" t="n">
        <v>0.501016843717102</v>
      </c>
      <c r="J104" s="1" t="n">
        <v>0.101696738854274</v>
      </c>
    </row>
    <row r="105" customFormat="false" ht="15" hidden="false" customHeight="false" outlineLevel="0" collapsed="false">
      <c r="A105" s="1" t="s">
        <v>63</v>
      </c>
      <c r="B105" s="1" t="s">
        <v>23</v>
      </c>
      <c r="C105" s="1" t="s">
        <v>13</v>
      </c>
      <c r="D105" s="1" t="s">
        <v>74</v>
      </c>
      <c r="E105" s="1" t="n">
        <v>0.476190476190476</v>
      </c>
      <c r="F105" s="1" t="n">
        <v>0.54779763613743</v>
      </c>
      <c r="G105" s="1" t="n">
        <v>0.472678821250323</v>
      </c>
      <c r="H105" s="1" t="n">
        <v>0.46276659827684</v>
      </c>
      <c r="I105" s="1" t="n">
        <v>0.54779763613743</v>
      </c>
      <c r="J105" s="1" t="n">
        <v>0.0693579313303801</v>
      </c>
    </row>
    <row r="106" customFormat="false" ht="15" hidden="false" customHeight="false" outlineLevel="0" collapsed="false">
      <c r="A106" s="1" t="s">
        <v>48</v>
      </c>
      <c r="B106" s="1" t="s">
        <v>26</v>
      </c>
      <c r="C106" s="1" t="s">
        <v>13</v>
      </c>
      <c r="D106" s="1" t="s">
        <v>74</v>
      </c>
      <c r="E106" s="1" t="n">
        <v>0.474603174603175</v>
      </c>
      <c r="F106" s="1" t="n">
        <v>0.515485931668102</v>
      </c>
      <c r="G106" s="1" t="n">
        <v>0.463309170261785</v>
      </c>
      <c r="H106" s="1" t="n">
        <v>0.465061254205415</v>
      </c>
      <c r="I106" s="1" t="n">
        <v>0.515485931668102</v>
      </c>
      <c r="J106" s="1" t="n">
        <v>0.0733882711847502</v>
      </c>
    </row>
    <row r="107" customFormat="false" ht="15" hidden="false" customHeight="false" outlineLevel="0" collapsed="false">
      <c r="A107" s="1" t="s">
        <v>45</v>
      </c>
      <c r="B107" s="1" t="s">
        <v>1</v>
      </c>
      <c r="C107" s="1" t="s">
        <v>13</v>
      </c>
      <c r="D107" s="1" t="s">
        <v>74</v>
      </c>
      <c r="E107" s="1" t="n">
        <v>0.465079365079365</v>
      </c>
      <c r="F107" s="1" t="n">
        <v>0.595577327973969</v>
      </c>
      <c r="G107" s="1" t="n">
        <v>0.438769152232965</v>
      </c>
      <c r="H107" s="1" t="n">
        <v>0.546797331916361</v>
      </c>
      <c r="I107" s="1" t="n">
        <v>0.595577327973969</v>
      </c>
      <c r="J107" s="1" t="n">
        <v>0.0679755318047199</v>
      </c>
    </row>
    <row r="108" customFormat="false" ht="15" hidden="false" customHeight="false" outlineLevel="0" collapsed="false">
      <c r="A108" s="1" t="s">
        <v>59</v>
      </c>
      <c r="B108" s="1" t="s">
        <v>26</v>
      </c>
      <c r="C108" s="1" t="s">
        <v>13</v>
      </c>
      <c r="D108" s="1" t="s">
        <v>74</v>
      </c>
      <c r="E108" s="1" t="n">
        <v>0.455555555555556</v>
      </c>
      <c r="F108" s="1" t="n">
        <v>0.504192984974639</v>
      </c>
      <c r="G108" s="1" t="n">
        <v>0.437562707894734</v>
      </c>
      <c r="H108" s="1" t="n">
        <v>0.451814532428866</v>
      </c>
      <c r="I108" s="1" t="n">
        <v>0.504192984974639</v>
      </c>
      <c r="J108" s="1" t="n">
        <v>0.062975517676154</v>
      </c>
    </row>
    <row r="109" customFormat="false" ht="15" hidden="false" customHeight="false" outlineLevel="0" collapsed="false">
      <c r="A109" s="1" t="s">
        <v>44</v>
      </c>
      <c r="B109" s="1" t="s">
        <v>23</v>
      </c>
      <c r="C109" s="1" t="s">
        <v>13</v>
      </c>
      <c r="D109" s="1" t="s">
        <v>74</v>
      </c>
      <c r="E109" s="1" t="n">
        <v>0.446031746031746</v>
      </c>
      <c r="F109" s="1" t="n">
        <v>0.520881184802373</v>
      </c>
      <c r="G109" s="1" t="n">
        <v>0.415249368789909</v>
      </c>
      <c r="H109" s="1" t="n">
        <v>0.431059497674854</v>
      </c>
      <c r="I109" s="1" t="n">
        <v>0.520881184802373</v>
      </c>
      <c r="J109" s="1" t="n">
        <v>0.0547836705413136</v>
      </c>
    </row>
    <row r="110" customFormat="false" ht="15" hidden="false" customHeight="false" outlineLevel="0" collapsed="false">
      <c r="A110" s="1" t="s">
        <v>43</v>
      </c>
      <c r="B110" s="1" t="s">
        <v>26</v>
      </c>
      <c r="C110" s="1" t="s">
        <v>13</v>
      </c>
      <c r="D110" s="1" t="s">
        <v>74</v>
      </c>
      <c r="E110" s="1" t="n">
        <v>0.442857142857143</v>
      </c>
      <c r="F110" s="1" t="n">
        <v>0.511340798162504</v>
      </c>
      <c r="G110" s="1" t="n">
        <v>0.430307407640063</v>
      </c>
      <c r="H110" s="1" t="n">
        <v>0.457874665234987</v>
      </c>
      <c r="I110" s="1" t="n">
        <v>0.511340798162504</v>
      </c>
      <c r="J110" s="1" t="n">
        <v>0.0765604510240386</v>
      </c>
    </row>
    <row r="111" customFormat="false" ht="15" hidden="false" customHeight="false" outlineLevel="0" collapsed="false">
      <c r="A111" s="1" t="s">
        <v>46</v>
      </c>
      <c r="B111" s="1" t="s">
        <v>23</v>
      </c>
      <c r="C111" s="1" t="s">
        <v>13</v>
      </c>
      <c r="D111" s="1" t="s">
        <v>74</v>
      </c>
      <c r="E111" s="1" t="n">
        <v>0.442857142857143</v>
      </c>
      <c r="F111" s="1" t="n">
        <v>0.492929945449325</v>
      </c>
      <c r="G111" s="1" t="n">
        <v>0.426411860056765</v>
      </c>
      <c r="H111" s="1" t="n">
        <v>0.428394041977936</v>
      </c>
      <c r="I111" s="1" t="n">
        <v>0.492929945449325</v>
      </c>
      <c r="J111" s="1" t="n">
        <v>0.0623733561145154</v>
      </c>
    </row>
    <row r="112" customFormat="false" ht="15" hidden="false" customHeight="false" outlineLevel="0" collapsed="false">
      <c r="A112" s="1" t="s">
        <v>49</v>
      </c>
      <c r="B112" s="1" t="s">
        <v>17</v>
      </c>
      <c r="C112" s="1" t="s">
        <v>13</v>
      </c>
      <c r="D112" s="1" t="s">
        <v>74</v>
      </c>
      <c r="E112" s="1" t="n">
        <v>0.438095238095238</v>
      </c>
      <c r="F112" s="1" t="n">
        <v>0.542456215905828</v>
      </c>
      <c r="G112" s="1" t="n">
        <v>0.395647984725714</v>
      </c>
      <c r="H112" s="1" t="n">
        <v>0.446280082445659</v>
      </c>
      <c r="I112" s="1" t="n">
        <v>0.542456215905828</v>
      </c>
      <c r="J112" s="1" t="n">
        <v>0.0670999392077158</v>
      </c>
    </row>
    <row r="113" customFormat="false" ht="15" hidden="false" customHeight="false" outlineLevel="0" collapsed="false">
      <c r="A113" s="1" t="s">
        <v>50</v>
      </c>
      <c r="B113" s="1" t="s">
        <v>23</v>
      </c>
      <c r="C113" s="1" t="s">
        <v>13</v>
      </c>
      <c r="D113" s="1" t="s">
        <v>74</v>
      </c>
      <c r="E113" s="1" t="n">
        <v>0.426984126984127</v>
      </c>
      <c r="F113" s="1" t="n">
        <v>0.501967891664274</v>
      </c>
      <c r="G113" s="1" t="n">
        <v>0.425992860375361</v>
      </c>
      <c r="H113" s="1" t="n">
        <v>0.433973171794592</v>
      </c>
      <c r="I113" s="1" t="n">
        <v>0.501967891664274</v>
      </c>
      <c r="J113" s="1" t="n">
        <v>0.0967311146628321</v>
      </c>
    </row>
    <row r="114" customFormat="false" ht="15" hidden="false" customHeight="false" outlineLevel="0" collapsed="false">
      <c r="A114" s="1" t="s">
        <v>47</v>
      </c>
      <c r="B114" s="1" t="s">
        <v>23</v>
      </c>
      <c r="C114" s="1" t="s">
        <v>13</v>
      </c>
      <c r="D114" s="1" t="s">
        <v>74</v>
      </c>
      <c r="E114" s="1" t="n">
        <v>0.423809523809524</v>
      </c>
      <c r="F114" s="1" t="n">
        <v>0.477449995214853</v>
      </c>
      <c r="G114" s="1" t="n">
        <v>0.384363024985389</v>
      </c>
      <c r="H114" s="1" t="n">
        <v>0.479479961446791</v>
      </c>
      <c r="I114" s="1" t="n">
        <v>0.477449995214853</v>
      </c>
      <c r="J114" s="1" t="n">
        <v>0.0697544082585377</v>
      </c>
    </row>
    <row r="115" customFormat="false" ht="15" hidden="false" customHeight="false" outlineLevel="0" collapsed="false">
      <c r="A115" s="1" t="s">
        <v>53</v>
      </c>
      <c r="B115" s="1" t="s">
        <v>17</v>
      </c>
      <c r="C115" s="1" t="s">
        <v>13</v>
      </c>
      <c r="D115" s="1" t="s">
        <v>74</v>
      </c>
      <c r="E115" s="1" t="n">
        <v>0.409523809523809</v>
      </c>
      <c r="F115" s="1" t="n">
        <v>0.333333333333333</v>
      </c>
      <c r="G115" s="1" t="n">
        <v>0.193693693693694</v>
      </c>
      <c r="H115" s="1" t="n">
        <v>0.136507936507937</v>
      </c>
      <c r="I115" s="1" t="n">
        <v>0.333333333333333</v>
      </c>
      <c r="J115" s="1" t="n">
        <v>0</v>
      </c>
    </row>
    <row r="116" customFormat="false" ht="15" hidden="false" customHeight="false" outlineLevel="0" collapsed="false">
      <c r="A116" s="1" t="s">
        <v>54</v>
      </c>
      <c r="B116" s="1" t="s">
        <v>17</v>
      </c>
      <c r="C116" s="1" t="s">
        <v>13</v>
      </c>
      <c r="D116" s="1" t="s">
        <v>74</v>
      </c>
      <c r="E116" s="1" t="n">
        <v>0.409523809523809</v>
      </c>
      <c r="F116" s="1" t="n">
        <v>0.333333333333333</v>
      </c>
      <c r="G116" s="1" t="n">
        <v>0.193693693693694</v>
      </c>
      <c r="H116" s="1" t="n">
        <v>0.136507936507937</v>
      </c>
      <c r="I116" s="1" t="n">
        <v>0.333333333333333</v>
      </c>
      <c r="J116" s="1" t="n">
        <v>0</v>
      </c>
    </row>
    <row r="117" customFormat="false" ht="15" hidden="false" customHeight="false" outlineLevel="0" collapsed="false">
      <c r="A117" s="1" t="s">
        <v>55</v>
      </c>
      <c r="B117" s="1" t="s">
        <v>17</v>
      </c>
      <c r="C117" s="1" t="s">
        <v>13</v>
      </c>
      <c r="D117" s="1" t="s">
        <v>74</v>
      </c>
      <c r="E117" s="1" t="n">
        <v>0.409523809523809</v>
      </c>
      <c r="F117" s="1" t="n">
        <v>0.333333333333333</v>
      </c>
      <c r="G117" s="1" t="n">
        <v>0.193693693693694</v>
      </c>
      <c r="H117" s="1" t="n">
        <v>0.136507936507937</v>
      </c>
      <c r="I117" s="1" t="n">
        <v>0.333333333333333</v>
      </c>
      <c r="J117" s="1" t="n">
        <v>0</v>
      </c>
    </row>
    <row r="118" customFormat="false" ht="15" hidden="false" customHeight="false" outlineLevel="0" collapsed="false">
      <c r="A118" s="1" t="s">
        <v>56</v>
      </c>
      <c r="B118" s="1" t="s">
        <v>17</v>
      </c>
      <c r="C118" s="1" t="s">
        <v>13</v>
      </c>
      <c r="D118" s="1" t="s">
        <v>74</v>
      </c>
      <c r="E118" s="1" t="n">
        <v>0.409523809523809</v>
      </c>
      <c r="F118" s="1" t="n">
        <v>0.333333333333333</v>
      </c>
      <c r="G118" s="1" t="n">
        <v>0.193693693693694</v>
      </c>
      <c r="H118" s="1" t="n">
        <v>0.136507936507937</v>
      </c>
      <c r="I118" s="1" t="n">
        <v>0.333333333333333</v>
      </c>
      <c r="J118" s="1" t="n">
        <v>0</v>
      </c>
    </row>
    <row r="119" customFormat="false" ht="15" hidden="false" customHeight="false" outlineLevel="0" collapsed="false">
      <c r="A119" s="1" t="s">
        <v>66</v>
      </c>
      <c r="B119" s="1" t="s">
        <v>17</v>
      </c>
      <c r="C119" s="1" t="s">
        <v>13</v>
      </c>
      <c r="D119" s="1" t="s">
        <v>74</v>
      </c>
      <c r="E119" s="1" t="n">
        <v>0.409523809523809</v>
      </c>
      <c r="F119" s="1" t="n">
        <v>0.333333333333333</v>
      </c>
      <c r="G119" s="1" t="n">
        <v>0.193693693693694</v>
      </c>
      <c r="H119" s="1" t="n">
        <v>0.136507936507937</v>
      </c>
      <c r="I119" s="1" t="n">
        <v>0.333333333333333</v>
      </c>
      <c r="J119" s="1" t="n">
        <v>0</v>
      </c>
    </row>
    <row r="120" customFormat="false" ht="15" hidden="false" customHeight="false" outlineLevel="0" collapsed="false">
      <c r="A120" s="1" t="s">
        <v>67</v>
      </c>
      <c r="B120" s="1" t="s">
        <v>17</v>
      </c>
      <c r="C120" s="1" t="s">
        <v>13</v>
      </c>
      <c r="D120" s="1" t="s">
        <v>74</v>
      </c>
      <c r="E120" s="1" t="n">
        <v>0.409523809523809</v>
      </c>
      <c r="F120" s="1" t="n">
        <v>0.333333333333333</v>
      </c>
      <c r="G120" s="1" t="n">
        <v>0.193693693693694</v>
      </c>
      <c r="H120" s="1" t="n">
        <v>0.136507936507937</v>
      </c>
      <c r="I120" s="1" t="n">
        <v>0.333333333333333</v>
      </c>
      <c r="J120" s="1" t="n">
        <v>0</v>
      </c>
    </row>
    <row r="121" customFormat="false" ht="15" hidden="false" customHeight="false" outlineLevel="0" collapsed="false">
      <c r="A121" s="1" t="s">
        <v>51</v>
      </c>
      <c r="B121" s="1" t="s">
        <v>26</v>
      </c>
      <c r="C121" s="1" t="s">
        <v>13</v>
      </c>
      <c r="D121" s="1" t="s">
        <v>74</v>
      </c>
      <c r="E121" s="1" t="n">
        <v>0.4</v>
      </c>
      <c r="F121" s="1" t="n">
        <v>0.501585079911953</v>
      </c>
      <c r="G121" s="1" t="n">
        <v>0.360937009679893</v>
      </c>
      <c r="H121" s="1" t="n">
        <v>0.445419785561439</v>
      </c>
      <c r="I121" s="1" t="n">
        <v>0.501585079911953</v>
      </c>
      <c r="J121" s="1" t="n">
        <v>0.091860438304395</v>
      </c>
    </row>
    <row r="122" customFormat="false" ht="15" hidden="false" customHeight="false" outlineLevel="0" collapsed="false">
      <c r="A122" s="1" t="s">
        <v>52</v>
      </c>
      <c r="B122" s="1" t="s">
        <v>23</v>
      </c>
      <c r="C122" s="1" t="s">
        <v>13</v>
      </c>
      <c r="D122" s="1" t="s">
        <v>74</v>
      </c>
      <c r="E122" s="1" t="n">
        <v>0.39047619047619</v>
      </c>
      <c r="F122" s="1" t="n">
        <v>0.45201095798641</v>
      </c>
      <c r="G122" s="1" t="n">
        <v>0.378468833378765</v>
      </c>
      <c r="H122" s="1" t="n">
        <v>0.39832684101258</v>
      </c>
      <c r="I122" s="1" t="n">
        <v>0.45201095798641</v>
      </c>
      <c r="J122" s="1" t="n">
        <v>0.0553414622248674</v>
      </c>
    </row>
    <row r="123" customFormat="false" ht="15" hidden="false" customHeight="false" outlineLevel="0" collapsed="false">
      <c r="A123" s="1" t="s">
        <v>62</v>
      </c>
      <c r="B123" s="1" t="s">
        <v>23</v>
      </c>
      <c r="C123" s="1" t="s">
        <v>13</v>
      </c>
      <c r="D123" s="1" t="s">
        <v>74</v>
      </c>
      <c r="E123" s="1" t="n">
        <v>0.39047619047619</v>
      </c>
      <c r="F123" s="1" t="n">
        <v>0.482253086419753</v>
      </c>
      <c r="G123" s="1" t="n">
        <v>0.386563198901989</v>
      </c>
      <c r="H123" s="1" t="n">
        <v>0.405265797000692</v>
      </c>
      <c r="I123" s="1" t="n">
        <v>0.482253086419753</v>
      </c>
      <c r="J123" s="1" t="n">
        <v>0.121258345713236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J27" activeCellId="0" sqref="J27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53.14"/>
    <col collapsed="false" customWidth="true" hidden="false" outlineLevel="0" max="2" min="2" style="1" width="18.64"/>
    <col collapsed="false" customWidth="true" hidden="false" outlineLevel="0" max="16384" min="16382" style="1" width="11.53"/>
  </cols>
  <sheetData>
    <row r="1" customFormat="false" ht="13.8" hidden="false" customHeight="false" outlineLevel="0" collapsed="false">
      <c r="A1" s="2" t="s">
        <v>1</v>
      </c>
      <c r="B1" s="2"/>
      <c r="C1" s="2"/>
      <c r="D1" s="2"/>
      <c r="E1" s="2"/>
      <c r="F1" s="2"/>
      <c r="G1" s="2"/>
    </row>
    <row r="2" customFormat="false" ht="13.8" hidden="false" customHeight="false" outlineLevel="0" collapsed="false">
      <c r="A2" s="4" t="s">
        <v>2</v>
      </c>
      <c r="B2" s="4" t="s">
        <v>4</v>
      </c>
      <c r="C2" s="4" t="s">
        <v>5</v>
      </c>
      <c r="D2" s="4" t="s">
        <v>6</v>
      </c>
      <c r="E2" s="4" t="s">
        <v>127</v>
      </c>
      <c r="F2" s="4" t="s">
        <v>9</v>
      </c>
      <c r="G2" s="4" t="s">
        <v>10</v>
      </c>
    </row>
    <row r="3" customFormat="false" ht="13.8" hidden="false" customHeight="false" outlineLevel="0" collapsed="false">
      <c r="A3" s="1" t="s">
        <v>123</v>
      </c>
      <c r="B3" s="1" t="str">
        <f aca="false">IF(  OR(ISNUMBER(SEARCH("SMOTEENN",A3)),ISNUMBER(SEARCH("SMOTETomek",A3))),  "Hybrid",  IF(   AND(    OR(ISNUMBER(SEARCH("SMOTE",A3)),ISNUMBER(SEARCH("SVMSMOTE",A3)),ISNUMBER(SEARCH("RandomOverSampler",A3)),ISNUMBER(SEARCH("BorderlineSmote",A3))),    OR(ISNUMBER(SEARCH("RandomUnderSampler",A3)),ISNUMBER(SEARCH("ClusterCentroids",A3)),ISNUMBER(SEARCH("OneSidedSelection",A3)))   ),   "Over+Under",   IF(    OR(ISNUMBER(SEARCH("SMOTE",A3)),ISNUMBER(SEARCH("SVMSMOTE",A3)),ISNUMBER(SEARCH("RandomOverSampler",A3)),ISNUMBER(SEARCH("BorderlineSmote",A3))),    "Oversampling",    IF(     OR(ISNUMBER(SEARCH("RandomUnderSampler",A3)),ISNUMBER(SEARCH("ClusterCentroids",A3)),ISNUMBER(SEARCH("OneSidedSelection",A3))),     "Undersampler",     "Czysty"    )   )  ) )</f>
        <v>Oversampling</v>
      </c>
      <c r="C3" s="1" t="s">
        <v>14</v>
      </c>
      <c r="D3" s="1" t="n">
        <v>0.6</v>
      </c>
      <c r="E3" s="1" t="n">
        <v>0.6483</v>
      </c>
      <c r="F3" s="1" t="n">
        <v>0.7055</v>
      </c>
      <c r="G3" s="1" t="n">
        <v>0.6173</v>
      </c>
      <c r="I3" s="0" t="s">
        <v>98</v>
      </c>
      <c r="L3" s="1"/>
      <c r="M3" s="1"/>
      <c r="N3" s="1"/>
    </row>
    <row r="4" customFormat="false" ht="13.8" hidden="false" customHeight="false" outlineLevel="0" collapsed="false">
      <c r="A4" s="1" t="s">
        <v>81</v>
      </c>
      <c r="B4" s="1" t="str">
        <f aca="false">IF(  OR(ISNUMBER(SEARCH("SMOTEENN",A4)),ISNUMBER(SEARCH("SMOTETomek",A4))),  "Hybrid",  IF(   AND(    OR(ISNUMBER(SEARCH("SMOTE",A4)),ISNUMBER(SEARCH("SVMSMOTE",A4)),ISNUMBER(SEARCH("RandomOverSampler",A4)),ISNUMBER(SEARCH("BorderlineSmote",A4))),    OR(ISNUMBER(SEARCH("RandomUnderSampler",A4)),ISNUMBER(SEARCH("ClusterCentroids",A4)),ISNUMBER(SEARCH("OneSidedSelection",A4)))   ),   "Over+Under",   IF(    OR(ISNUMBER(SEARCH("SMOTE",A4)),ISNUMBER(SEARCH("SVMSMOTE",A4)),ISNUMBER(SEARCH("RandomOverSampler",A4)),ISNUMBER(SEARCH("BorderlineSmote",A4))),    "Oversampling",    IF(     OR(ISNUMBER(SEARCH("RandomUnderSampler",A4)),ISNUMBER(SEARCH("ClusterCentroids",A4)),ISNUMBER(SEARCH("OneSidedSelection",A4))),     "Undersampler",     "Czysty"    )   )  ) )</f>
        <v>Oversampling</v>
      </c>
      <c r="C4" s="1" t="s">
        <v>14</v>
      </c>
      <c r="D4" s="1" t="n">
        <v>0.5905</v>
      </c>
      <c r="E4" s="1" t="n">
        <v>0.631</v>
      </c>
      <c r="F4" s="1" t="n">
        <v>0.71</v>
      </c>
      <c r="G4" s="1" t="n">
        <v>0.5947</v>
      </c>
      <c r="I4" s="0" t="s">
        <v>1</v>
      </c>
      <c r="L4" s="1"/>
      <c r="M4" s="1"/>
      <c r="N4" s="1"/>
    </row>
    <row r="5" customFormat="false" ht="13.8" hidden="false" customHeight="false" outlineLevel="0" collapsed="false">
      <c r="A5" s="1" t="s">
        <v>79</v>
      </c>
      <c r="B5" s="1" t="str">
        <f aca="false">IF(  OR(ISNUMBER(SEARCH("SMOTEENN",A5)),ISNUMBER(SEARCH("SMOTETomek",A5))),  "Hybrid",  IF(   AND(    OR(ISNUMBER(SEARCH("SMOTE",A5)),ISNUMBER(SEARCH("SVMSMOTE",A5)),ISNUMBER(SEARCH("RandomOverSampler",A5)),ISNUMBER(SEARCH("BorderlineSmote",A5))),    OR(ISNUMBER(SEARCH("RandomUnderSampler",A5)),ISNUMBER(SEARCH("ClusterCentroids",A5)),ISNUMBER(SEARCH("OneSidedSelection",A5)))   ),   "Over+Under",   IF(    OR(ISNUMBER(SEARCH("SMOTE",A5)),ISNUMBER(SEARCH("SVMSMOTE",A5)),ISNUMBER(SEARCH("RandomOverSampler",A5)),ISNUMBER(SEARCH("BorderlineSmote",A5))),    "Oversampling",    IF(     OR(ISNUMBER(SEARCH("RandomUnderSampler",A5)),ISNUMBER(SEARCH("ClusterCentroids",A5)),ISNUMBER(SEARCH("OneSidedSelection",A5))),     "Undersampler",     "Czysty"    )   )  ) )</f>
        <v>Oversampling</v>
      </c>
      <c r="C5" s="1" t="s">
        <v>14</v>
      </c>
      <c r="D5" s="1" t="n">
        <v>0.6254</v>
      </c>
      <c r="E5" s="1" t="n">
        <v>0.6301</v>
      </c>
      <c r="F5" s="1" t="n">
        <v>0.7381</v>
      </c>
      <c r="G5" s="1" t="n">
        <v>0.589</v>
      </c>
      <c r="I5" s="0" t="s">
        <v>14</v>
      </c>
      <c r="J5" s="0" t="n">
        <f aca="false">MAX(E3:E17)</f>
        <v>0.6483</v>
      </c>
      <c r="K5" s="0" t="str">
        <f aca="false">INDEX(A3:A17,    MATCH(   J5,   E3:E17, 0)    )</f>
        <v>SMOTE</v>
      </c>
      <c r="L5" s="1"/>
      <c r="M5" s="1"/>
      <c r="N5" s="1"/>
    </row>
    <row r="6" customFormat="false" ht="13.8" hidden="false" customHeight="false" outlineLevel="0" collapsed="false">
      <c r="A6" s="1" t="s">
        <v>80</v>
      </c>
      <c r="B6" s="1" t="str">
        <f aca="false">IF(  OR(ISNUMBER(SEARCH("SMOTEENN",A6)),ISNUMBER(SEARCH("SMOTETomek",A6))),  "Hybrid",  IF(   AND(    OR(ISNUMBER(SEARCH("SMOTE",A6)),ISNUMBER(SEARCH("SVMSMOTE",A6)),ISNUMBER(SEARCH("RandomOverSampler",A6)),ISNUMBER(SEARCH("BorderlineSmote",A6))),    OR(ISNUMBER(SEARCH("RandomUnderSampler",A6)),ISNUMBER(SEARCH("ClusterCentroids",A6)),ISNUMBER(SEARCH("OneSidedSelection",A6)))   ),   "Over+Under",   IF(    OR(ISNUMBER(SEARCH("SMOTE",A6)),ISNUMBER(SEARCH("SVMSMOTE",A6)),ISNUMBER(SEARCH("RandomOverSampler",A6)),ISNUMBER(SEARCH("BorderlineSmote",A6))),    "Oversampling",    IF(     OR(ISNUMBER(SEARCH("RandomUnderSampler",A6)),ISNUMBER(SEARCH("ClusterCentroids",A6)),ISNUMBER(SEARCH("OneSidedSelection",A6))),     "Undersampler",     "Czysty"    )   )  ) )</f>
        <v>Hybrid</v>
      </c>
      <c r="C6" s="1" t="s">
        <v>14</v>
      </c>
      <c r="D6" s="1" t="n">
        <v>0.5698</v>
      </c>
      <c r="E6" s="1" t="n">
        <v>0.6153</v>
      </c>
      <c r="F6" s="1" t="n">
        <v>0.6935</v>
      </c>
      <c r="G6" s="1" t="n">
        <v>0.5779</v>
      </c>
      <c r="I6" s="0" t="s">
        <v>74</v>
      </c>
      <c r="J6" s="0" t="n">
        <f aca="false">MAX(E18:E32)</f>
        <v>0.6922</v>
      </c>
      <c r="K6" s="0" t="str">
        <f aca="false">INDEX(A18:A32,    MATCH(   J6,   E18:E32, 0)    )</f>
        <v>SMOTE</v>
      </c>
      <c r="L6" s="1"/>
      <c r="M6" s="1"/>
      <c r="N6" s="1"/>
    </row>
    <row r="7" customFormat="false" ht="13.8" hidden="false" customHeight="false" outlineLevel="0" collapsed="false">
      <c r="A7" s="1" t="s">
        <v>88</v>
      </c>
      <c r="B7" s="1" t="str">
        <f aca="false">IF(  OR(ISNUMBER(SEARCH("SMOTEENN",A7)),ISNUMBER(SEARCH("SMOTETomek",A7))),  "Hybrid",  IF(   AND(    OR(ISNUMBER(SEARCH("SMOTE",A7)),ISNUMBER(SEARCH("SVMSMOTE",A7)),ISNUMBER(SEARCH("RandomOverSampler",A7)),ISNUMBER(SEARCH("BorderlineSmote",A7))),    OR(ISNUMBER(SEARCH("RandomUnderSampler",A7)),ISNUMBER(SEARCH("ClusterCentroids",A7)),ISNUMBER(SEARCH("OneSidedSelection",A7)))   ),   "Over+Under",   IF(    OR(ISNUMBER(SEARCH("SMOTE",A7)),ISNUMBER(SEARCH("SVMSMOTE",A7)),ISNUMBER(SEARCH("RandomOverSampler",A7)),ISNUMBER(SEARCH("BorderlineSmote",A7))),    "Oversampling",    IF(     OR(ISNUMBER(SEARCH("RandomUnderSampler",A7)),ISNUMBER(SEARCH("ClusterCentroids",A7)),ISNUMBER(SEARCH("OneSidedSelection",A7))),     "Undersampler",     "Czysty"    )   )  ) )</f>
        <v>Over+Under</v>
      </c>
      <c r="C7" s="1" t="s">
        <v>14</v>
      </c>
      <c r="D7" s="1" t="n">
        <v>0.5571</v>
      </c>
      <c r="E7" s="1" t="n">
        <v>0.5942</v>
      </c>
      <c r="F7" s="1" t="n">
        <v>0.6783</v>
      </c>
      <c r="G7" s="1" t="n">
        <v>0.5883</v>
      </c>
      <c r="L7" s="1"/>
      <c r="M7" s="1"/>
      <c r="N7" s="1"/>
    </row>
    <row r="8" customFormat="false" ht="13.8" hidden="false" customHeight="false" outlineLevel="0" collapsed="false">
      <c r="A8" s="1" t="s">
        <v>126</v>
      </c>
      <c r="B8" s="1" t="str">
        <f aca="false">IF(  OR(ISNUMBER(SEARCH("SMOTEENN",A8)),ISNUMBER(SEARCH("SMOTETomek",A8))),  "Hybrid",  IF(   AND(    OR(ISNUMBER(SEARCH("SMOTE",A8)),ISNUMBER(SEARCH("SVMSMOTE",A8)),ISNUMBER(SEARCH("RandomOverSampler",A8)),ISNUMBER(SEARCH("BorderlineSmote",A8))),    OR(ISNUMBER(SEARCH("RandomUnderSampler",A8)),ISNUMBER(SEARCH("ClusterCentroids",A8)),ISNUMBER(SEARCH("OneSidedSelection",A8)))   ),   "Over+Under",   IF(    OR(ISNUMBER(SEARCH("SMOTE",A8)),ISNUMBER(SEARCH("SVMSMOTE",A8)),ISNUMBER(SEARCH("RandomOverSampler",A8)),ISNUMBER(SEARCH("BorderlineSmote",A8))),    "Oversampling",    IF(     OR(ISNUMBER(SEARCH("RandomUnderSampler",A8)),ISNUMBER(SEARCH("ClusterCentroids",A8)),ISNUMBER(SEARCH("OneSidedSelection",A8))),     "Undersampler",     "Czysty"    )   )  ) )</f>
        <v>Oversampling</v>
      </c>
      <c r="C8" s="1" t="s">
        <v>14</v>
      </c>
      <c r="D8" s="1" t="n">
        <v>0.5603</v>
      </c>
      <c r="E8" s="1" t="n">
        <v>0.5837</v>
      </c>
      <c r="F8" s="1" t="n">
        <v>0.6809</v>
      </c>
      <c r="G8" s="1" t="n">
        <v>0.5525</v>
      </c>
      <c r="I8" s="0" t="s">
        <v>17</v>
      </c>
      <c r="L8" s="1"/>
      <c r="M8" s="1"/>
      <c r="N8" s="1"/>
    </row>
    <row r="9" customFormat="false" ht="13.8" hidden="false" customHeight="false" outlineLevel="0" collapsed="false">
      <c r="A9" s="1" t="s">
        <v>124</v>
      </c>
      <c r="B9" s="1" t="str">
        <f aca="false">IF(  OR(ISNUMBER(SEARCH("SMOTEENN",A9)),ISNUMBER(SEARCH("SMOTETomek",A9))),  "Hybrid",  IF(   AND(    OR(ISNUMBER(SEARCH("SMOTE",A9)),ISNUMBER(SEARCH("SVMSMOTE",A9)),ISNUMBER(SEARCH("RandomOverSampler",A9)),ISNUMBER(SEARCH("BorderlineSmote",A9))),    OR(ISNUMBER(SEARCH("RandomUnderSampler",A9)),ISNUMBER(SEARCH("ClusterCentroids",A9)),ISNUMBER(SEARCH("OneSidedSelection",A9)))   ),   "Over+Under",   IF(    OR(ISNUMBER(SEARCH("SMOTE",A9)),ISNUMBER(SEARCH("SVMSMOTE",A9)),ISNUMBER(SEARCH("RandomOverSampler",A9)),ISNUMBER(SEARCH("BorderlineSmote",A9))),    "Oversampling",    IF(     OR(ISNUMBER(SEARCH("RandomUnderSampler",A9)),ISNUMBER(SEARCH("ClusterCentroids",A9)),ISNUMBER(SEARCH("OneSidedSelection",A9))),     "Undersampler",     "Czysty"    )   )  ) )</f>
        <v>Over+Under</v>
      </c>
      <c r="C9" s="1" t="s">
        <v>14</v>
      </c>
      <c r="D9" s="1" t="n">
        <v>0.527</v>
      </c>
      <c r="E9" s="1" t="n">
        <v>0.5543</v>
      </c>
      <c r="F9" s="1" t="n">
        <v>0.5438</v>
      </c>
      <c r="G9" s="1" t="n">
        <v>0.626</v>
      </c>
      <c r="I9" s="0" t="s">
        <v>14</v>
      </c>
      <c r="J9" s="0" t="n">
        <f aca="false">MAX(E36:E50)</f>
        <v>0.6568</v>
      </c>
      <c r="K9" s="0" t="str">
        <f aca="false">INDEX(A36:A65,    MATCH(   J9,   E36:E65, 0)    )</f>
        <v>SMOTE</v>
      </c>
      <c r="L9" s="1"/>
      <c r="M9" s="1"/>
      <c r="N9" s="1"/>
    </row>
    <row r="10" customFormat="false" ht="13.8" hidden="false" customHeight="false" outlineLevel="0" collapsed="false">
      <c r="A10" s="1" t="s">
        <v>82</v>
      </c>
      <c r="B10" s="1" t="str">
        <f aca="false">IF(  OR(ISNUMBER(SEARCH("SMOTEENN",A10)),ISNUMBER(SEARCH("SMOTETomek",A10))),  "Hybrid",  IF(   AND(    OR(ISNUMBER(SEARCH("SMOTE",A10)),ISNUMBER(SEARCH("SVMSMOTE",A10)),ISNUMBER(SEARCH("RandomOverSampler",A10)),ISNUMBER(SEARCH("BorderlineSmote",A10))),    OR(ISNUMBER(SEARCH("RandomUnderSampler",A10)),ISNUMBER(SEARCH("ClusterCentroids",A10)),ISNUMBER(SEARCH("OneSidedSelection",A10)))   ),   "Over+Under",   IF(    OR(ISNUMBER(SEARCH("SMOTE",A10)),ISNUMBER(SEARCH("SVMSMOTE",A10)),ISNUMBER(SEARCH("RandomOverSampler",A10)),ISNUMBER(SEARCH("BorderlineSmote",A10))),    "Oversampling",    IF(     OR(ISNUMBER(SEARCH("RandomUnderSampler",A10)),ISNUMBER(SEARCH("ClusterCentroids",A10)),ISNUMBER(SEARCH("OneSidedSelection",A10))),     "Undersampler",     "Czysty"    )   )  ) )</f>
        <v>Over+Under</v>
      </c>
      <c r="C10" s="1" t="s">
        <v>14</v>
      </c>
      <c r="D10" s="1" t="n">
        <v>0.5238</v>
      </c>
      <c r="E10" s="1" t="n">
        <v>0.5519</v>
      </c>
      <c r="F10" s="1" t="n">
        <v>0.5283</v>
      </c>
      <c r="G10" s="1" t="n">
        <v>0.6339</v>
      </c>
      <c r="I10" s="0" t="s">
        <v>74</v>
      </c>
      <c r="J10" s="0" t="n">
        <f aca="false">MAX(E51:E65)</f>
        <v>0.6455</v>
      </c>
      <c r="K10" s="0" t="str">
        <f aca="false">INDEX(A36:A65,    MATCH(   J10,   E36:E65, 0)    )</f>
        <v>BorderlineSmote</v>
      </c>
      <c r="L10" s="1"/>
      <c r="M10" s="1"/>
      <c r="N10" s="1"/>
    </row>
    <row r="11" customFormat="false" ht="13.8" hidden="false" customHeight="false" outlineLevel="0" collapsed="false">
      <c r="A11" s="1" t="s">
        <v>83</v>
      </c>
      <c r="B11" s="1" t="str">
        <f aca="false">IF(  OR(ISNUMBER(SEARCH("SMOTEENN",A11)),ISNUMBER(SEARCH("SMOTETomek",A11))),  "Hybrid",  IF(   AND(    OR(ISNUMBER(SEARCH("SMOTE",A11)),ISNUMBER(SEARCH("SVMSMOTE",A11)),ISNUMBER(SEARCH("RandomOverSampler",A11)),ISNUMBER(SEARCH("BorderlineSmote",A11))),    OR(ISNUMBER(SEARCH("RandomUnderSampler",A11)),ISNUMBER(SEARCH("ClusterCentroids",A11)),ISNUMBER(SEARCH("OneSidedSelection",A11)))   ),   "Over+Under",   IF(    OR(ISNUMBER(SEARCH("SMOTE",A11)),ISNUMBER(SEARCH("SVMSMOTE",A11)),ISNUMBER(SEARCH("RandomOverSampler",A11)),ISNUMBER(SEARCH("BorderlineSmote",A11))),    "Oversampling",    IF(     OR(ISNUMBER(SEARCH("RandomUnderSampler",A11)),ISNUMBER(SEARCH("ClusterCentroids",A11)),ISNUMBER(SEARCH("OneSidedSelection",A11))),     "Undersampler",     "Czysty"    )   )  ) )</f>
        <v>Over+Under</v>
      </c>
      <c r="C11" s="1" t="s">
        <v>14</v>
      </c>
      <c r="D11" s="1" t="n">
        <v>0.5032</v>
      </c>
      <c r="E11" s="1" t="n">
        <v>0.5401</v>
      </c>
      <c r="F11" s="1" t="n">
        <v>0.5279</v>
      </c>
      <c r="G11" s="1" t="n">
        <v>0.587</v>
      </c>
      <c r="L11" s="1"/>
      <c r="M11" s="1"/>
      <c r="N11" s="1"/>
    </row>
    <row r="12" customFormat="false" ht="13.8" hidden="false" customHeight="false" outlineLevel="0" collapsed="false">
      <c r="A12" s="1" t="s">
        <v>85</v>
      </c>
      <c r="B12" s="1" t="str">
        <f aca="false">IF(  OR(ISNUMBER(SEARCH("SMOTEENN",A12)),ISNUMBER(SEARCH("SMOTETomek",A12))),  "Hybrid",  IF(   AND(    OR(ISNUMBER(SEARCH("SMOTE",A12)),ISNUMBER(SEARCH("SVMSMOTE",A12)),ISNUMBER(SEARCH("RandomOverSampler",A12)),ISNUMBER(SEARCH("BorderlineSmote",A12))),    OR(ISNUMBER(SEARCH("RandomUnderSampler",A12)),ISNUMBER(SEARCH("ClusterCentroids",A12)),ISNUMBER(SEARCH("OneSidedSelection",A12)))   ),   "Over+Under",   IF(    OR(ISNUMBER(SEARCH("SMOTE",A12)),ISNUMBER(SEARCH("SVMSMOTE",A12)),ISNUMBER(SEARCH("RandomOverSampler",A12)),ISNUMBER(SEARCH("BorderlineSmote",A12))),    "Oversampling",    IF(     OR(ISNUMBER(SEARCH("RandomUnderSampler",A12)),ISNUMBER(SEARCH("ClusterCentroids",A12)),ISNUMBER(SEARCH("OneSidedSelection",A12))),     "Undersampler",     "Czysty"    )   )  ) )</f>
        <v>Over+Under</v>
      </c>
      <c r="C12" s="1" t="s">
        <v>14</v>
      </c>
      <c r="D12" s="1" t="n">
        <v>0.5286</v>
      </c>
      <c r="E12" s="1" t="n">
        <v>0.5323</v>
      </c>
      <c r="F12" s="1" t="n">
        <v>0.5262</v>
      </c>
      <c r="G12" s="1" t="n">
        <v>0.5933</v>
      </c>
      <c r="I12" s="0" t="s">
        <v>23</v>
      </c>
      <c r="L12" s="1"/>
      <c r="M12" s="1"/>
      <c r="N12" s="1"/>
    </row>
    <row r="13" customFormat="false" ht="13.8" hidden="false" customHeight="false" outlineLevel="0" collapsed="false">
      <c r="A13" s="1" t="s">
        <v>86</v>
      </c>
      <c r="B13" s="1" t="str">
        <f aca="false">IF(  OR(ISNUMBER(SEARCH("SMOTEENN",A13)),ISNUMBER(SEARCH("SMOTETomek",A13))),  "Hybrid",  IF(   AND(    OR(ISNUMBER(SEARCH("SMOTE",A13)),ISNUMBER(SEARCH("SVMSMOTE",A13)),ISNUMBER(SEARCH("RandomOverSampler",A13)),ISNUMBER(SEARCH("BorderlineSmote",A13))),    OR(ISNUMBER(SEARCH("RandomUnderSampler",A13)),ISNUMBER(SEARCH("ClusterCentroids",A13)),ISNUMBER(SEARCH("OneSidedSelection",A13)))   ),   "Over+Under",   IF(    OR(ISNUMBER(SEARCH("SMOTE",A13)),ISNUMBER(SEARCH("SVMSMOTE",A13)),ISNUMBER(SEARCH("RandomOverSampler",A13)),ISNUMBER(SEARCH("BorderlineSmote",A13))),    "Oversampling",    IF(     OR(ISNUMBER(SEARCH("RandomUnderSampler",A13)),ISNUMBER(SEARCH("ClusterCentroids",A13)),ISNUMBER(SEARCH("OneSidedSelection",A13))),     "Undersampler",     "Czysty"    )   )  ) )</f>
        <v>Over+Under</v>
      </c>
      <c r="C13" s="1" t="s">
        <v>14</v>
      </c>
      <c r="D13" s="1" t="n">
        <v>0.5032</v>
      </c>
      <c r="E13" s="1" t="n">
        <v>0.5252</v>
      </c>
      <c r="F13" s="1" t="n">
        <v>0.5168</v>
      </c>
      <c r="G13" s="1" t="n">
        <v>0.5971</v>
      </c>
      <c r="I13" s="0" t="s">
        <v>14</v>
      </c>
      <c r="J13" s="1" t="n">
        <f aca="false">MAX(E69:E83)</f>
        <v>0.6496</v>
      </c>
      <c r="K13" s="1" t="str">
        <f aca="false">INDEX(A69:A98,    MATCH(   J13,   E69:E98, 0)    )</f>
        <v>BorderlineSmote</v>
      </c>
      <c r="L13" s="1"/>
      <c r="M13" s="1"/>
      <c r="N13" s="1"/>
    </row>
    <row r="14" customFormat="false" ht="13.8" hidden="false" customHeight="false" outlineLevel="0" collapsed="false">
      <c r="A14" s="1" t="s">
        <v>84</v>
      </c>
      <c r="B14" s="1" t="str">
        <f aca="false">IF(  OR(ISNUMBER(SEARCH("SMOTEENN",A14)),ISNUMBER(SEARCH("SMOTETomek",A14))),  "Hybrid",  IF(   AND(    OR(ISNUMBER(SEARCH("SMOTE",A14)),ISNUMBER(SEARCH("SVMSMOTE",A14)),ISNUMBER(SEARCH("RandomOverSampler",A14)),ISNUMBER(SEARCH("BorderlineSmote",A14))),    OR(ISNUMBER(SEARCH("RandomUnderSampler",A14)),ISNUMBER(SEARCH("ClusterCentroids",A14)),ISNUMBER(SEARCH("OneSidedSelection",A14)))   ),   "Over+Under",   IF(    OR(ISNUMBER(SEARCH("SMOTE",A14)),ISNUMBER(SEARCH("SVMSMOTE",A14)),ISNUMBER(SEARCH("RandomOverSampler",A14)),ISNUMBER(SEARCH("BorderlineSmote",A14))),    "Oversampling",    IF(     OR(ISNUMBER(SEARCH("RandomUnderSampler",A14)),ISNUMBER(SEARCH("ClusterCentroids",A14)),ISNUMBER(SEARCH("OneSidedSelection",A14))),     "Undersampler",     "Czysty"    )   )  ) )</f>
        <v>Over+Under</v>
      </c>
      <c r="C14" s="1" t="s">
        <v>14</v>
      </c>
      <c r="D14" s="1" t="n">
        <v>0.5079</v>
      </c>
      <c r="E14" s="1" t="n">
        <v>0.52</v>
      </c>
      <c r="F14" s="1" t="n">
        <v>0.568</v>
      </c>
      <c r="G14" s="1" t="n">
        <v>0.5401</v>
      </c>
      <c r="I14" s="0" t="s">
        <v>74</v>
      </c>
      <c r="J14" s="1" t="n">
        <f aca="false">MAX(E84:E98)</f>
        <v>0.6284</v>
      </c>
      <c r="K14" s="1" t="str">
        <f aca="false">INDEX(A69:A98,    MATCH(   J14,   E69:E98, 0)    )</f>
        <v>BorderlineSmote\newline+OneSidedSelection</v>
      </c>
      <c r="L14" s="1"/>
      <c r="M14" s="1"/>
      <c r="N14" s="1"/>
    </row>
    <row r="15" customFormat="false" ht="13.8" hidden="false" customHeight="false" outlineLevel="0" collapsed="false">
      <c r="A15" s="1" t="s">
        <v>125</v>
      </c>
      <c r="B15" s="1" t="str">
        <f aca="false">IF(  OR(ISNUMBER(SEARCH("SMOTEENN",A15)),ISNUMBER(SEARCH("SMOTETomek",A15))),  "Hybrid",  IF(   AND(    OR(ISNUMBER(SEARCH("SMOTE",A15)),ISNUMBER(SEARCH("SVMSMOTE",A15)),ISNUMBER(SEARCH("RandomOverSampler",A15)),ISNUMBER(SEARCH("BorderlineSmote",A15))),    OR(ISNUMBER(SEARCH("RandomUnderSampler",A15)),ISNUMBER(SEARCH("ClusterCentroids",A15)),ISNUMBER(SEARCH("OneSidedSelection",A15)))   ),   "Over+Under",   IF(    OR(ISNUMBER(SEARCH("SMOTE",A15)),ISNUMBER(SEARCH("SVMSMOTE",A15)),ISNUMBER(SEARCH("RandomOverSampler",A15)),ISNUMBER(SEARCH("BorderlineSmote",A15))),    "Oversampling",    IF(     OR(ISNUMBER(SEARCH("RandomUnderSampler",A15)),ISNUMBER(SEARCH("ClusterCentroids",A15)),ISNUMBER(SEARCH("OneSidedSelection",A15))),     "Undersampler",     "Czysty"    )   )  ) )</f>
        <v>Over+Under</v>
      </c>
      <c r="C15" s="1" t="s">
        <v>14</v>
      </c>
      <c r="D15" s="1" t="n">
        <v>0.4968</v>
      </c>
      <c r="E15" s="1" t="n">
        <v>0.5098</v>
      </c>
      <c r="F15" s="1" t="n">
        <v>0.5159</v>
      </c>
      <c r="G15" s="1" t="n">
        <v>0.5699</v>
      </c>
      <c r="L15" s="1"/>
      <c r="M15" s="1"/>
      <c r="N15" s="1"/>
    </row>
    <row r="16" customFormat="false" ht="13.8" hidden="false" customHeight="false" outlineLevel="0" collapsed="false">
      <c r="A16" s="1" t="s">
        <v>87</v>
      </c>
      <c r="B16" s="1" t="str">
        <f aca="false">IF(  OR(ISNUMBER(SEARCH("SMOTEENN",A16)),ISNUMBER(SEARCH("SMOTETomek",A16))),  "Hybrid",  IF(   AND(    OR(ISNUMBER(SEARCH("SMOTE",A16)),ISNUMBER(SEARCH("SVMSMOTE",A16)),ISNUMBER(SEARCH("RandomOverSampler",A16)),ISNUMBER(SEARCH("BorderlineSmote",A16))),    OR(ISNUMBER(SEARCH("RandomUnderSampler",A16)),ISNUMBER(SEARCH("ClusterCentroids",A16)),ISNUMBER(SEARCH("OneSidedSelection",A16)))   ),   "Over+Under",   IF(    OR(ISNUMBER(SEARCH("SMOTE",A16)),ISNUMBER(SEARCH("SVMSMOTE",A16)),ISNUMBER(SEARCH("RandomOverSampler",A16)),ISNUMBER(SEARCH("BorderlineSmote",A16))),    "Oversampling",    IF(     OR(ISNUMBER(SEARCH("RandomUnderSampler",A16)),ISNUMBER(SEARCH("ClusterCentroids",A16)),ISNUMBER(SEARCH("OneSidedSelection",A16))),     "Undersampler",     "Czysty"    )   )  ) )</f>
        <v>Hybrid</v>
      </c>
      <c r="C16" s="1" t="s">
        <v>14</v>
      </c>
      <c r="D16" s="1" t="n">
        <v>0.4556</v>
      </c>
      <c r="E16" s="1" t="n">
        <v>0.4273</v>
      </c>
      <c r="F16" s="1" t="n">
        <v>0.5476</v>
      </c>
      <c r="G16" s="1" t="n">
        <v>0.573</v>
      </c>
      <c r="I16" s="0" t="s">
        <v>26</v>
      </c>
      <c r="L16" s="1"/>
      <c r="M16" s="1"/>
      <c r="N16" s="1"/>
    </row>
    <row r="17" customFormat="false" ht="13.8" hidden="false" customHeight="false" outlineLevel="0" collapsed="false">
      <c r="A17" s="1" t="s">
        <v>1</v>
      </c>
      <c r="B17" s="1" t="str">
        <f aca="false">IF(  OR(ISNUMBER(SEARCH("SMOTEENN",A17)),ISNUMBER(SEARCH("SMOTETomek",A17))),  "Hybrid",  IF(   AND(    OR(ISNUMBER(SEARCH("SMOTE",A17)),ISNUMBER(SEARCH("SVMSMOTE",A17)),ISNUMBER(SEARCH("RandomOverSampler",A17)),ISNUMBER(SEARCH("BorderlineSmote",A17))),    OR(ISNUMBER(SEARCH("RandomUnderSampler",A17)),ISNUMBER(SEARCH("ClusterCentroids",A17)),ISNUMBER(SEARCH("OneSidedSelection",A17)))   ),   "Over+Under",   IF(    OR(ISNUMBER(SEARCH("SMOTE",A17)),ISNUMBER(SEARCH("SVMSMOTE",A17)),ISNUMBER(SEARCH("RandomOverSampler",A17)),ISNUMBER(SEARCH("BorderlineSmote",A17))),    "Oversampling",    IF(     OR(ISNUMBER(SEARCH("RandomUnderSampler",A17)),ISNUMBER(SEARCH("ClusterCentroids",A17)),ISNUMBER(SEARCH("OneSidedSelection",A17))),     "Undersampler",     "Czysty"    )   )  ) )</f>
        <v>Czysty</v>
      </c>
      <c r="C17" s="1" t="s">
        <v>14</v>
      </c>
      <c r="D17" s="1" t="n">
        <v>0.5238</v>
      </c>
      <c r="E17" s="1" t="n">
        <v>0.3452</v>
      </c>
      <c r="F17" s="1" t="n">
        <v>0.341</v>
      </c>
      <c r="G17" s="1" t="n">
        <v>0.3648</v>
      </c>
      <c r="I17" s="0" t="s">
        <v>14</v>
      </c>
      <c r="J17" s="1" t="n">
        <f aca="false">MAX(E102:E116)</f>
        <v>0.6296</v>
      </c>
      <c r="K17" s="1" t="str">
        <f aca="false">INDEX(A102:A131,    MATCH(   J17,   E102:E131, 0)    )</f>
        <v>BorderlineSmote</v>
      </c>
      <c r="L17" s="1"/>
      <c r="M17" s="1"/>
      <c r="N17" s="1"/>
    </row>
    <row r="18" customFormat="false" ht="13.8" hidden="false" customHeight="false" outlineLevel="0" collapsed="false">
      <c r="A18" s="1" t="s">
        <v>123</v>
      </c>
      <c r="B18" s="1" t="str">
        <f aca="false">IF(  OR(ISNUMBER(SEARCH("SMOTEENN",A18)),ISNUMBER(SEARCH("SMOTETomek",A18))),  "Hybrid",  IF(   AND(    OR(ISNUMBER(SEARCH("SMOTE",A18)),ISNUMBER(SEARCH("SVMSMOTE",A18)),ISNUMBER(SEARCH("RandomOverSampler",A18)),ISNUMBER(SEARCH("BorderlineSmote",A18))),    OR(ISNUMBER(SEARCH("RandomUnderSampler",A18)),ISNUMBER(SEARCH("ClusterCentroids",A18)),ISNUMBER(SEARCH("OneSidedSelection",A18)))   ),   "Over+Under",   IF(    OR(ISNUMBER(SEARCH("SMOTE",A18)),ISNUMBER(SEARCH("SVMSMOTE",A18)),ISNUMBER(SEARCH("RandomOverSampler",A18)),ISNUMBER(SEARCH("BorderlineSmote",A18))),    "Oversampling",    IF(     OR(ISNUMBER(SEARCH("RandomUnderSampler",A18)),ISNUMBER(SEARCH("ClusterCentroids",A18)),ISNUMBER(SEARCH("OneSidedSelection",A18))),     "Undersampler",     "Czysty"    )   )  ) )</f>
        <v>Oversampling</v>
      </c>
      <c r="C18" s="1" t="s">
        <v>74</v>
      </c>
      <c r="D18" s="1" t="n">
        <v>0.627</v>
      </c>
      <c r="E18" s="1" t="n">
        <v>0.6922</v>
      </c>
      <c r="F18" s="1" t="n">
        <v>0.7252</v>
      </c>
      <c r="G18" s="1" t="n">
        <v>0.6685</v>
      </c>
      <c r="I18" s="0" t="s">
        <v>74</v>
      </c>
      <c r="J18" s="1" t="n">
        <f aca="false">MAX(E117:E131)</f>
        <v>0.603</v>
      </c>
      <c r="K18" s="1" t="str">
        <f aca="false">INDEX(A102:A131,    MATCH(   J18,   E102:E131, 0)    )</f>
        <v>BorderlineSmote</v>
      </c>
      <c r="L18" s="1"/>
      <c r="M18" s="1"/>
      <c r="N18" s="1"/>
    </row>
    <row r="19" customFormat="false" ht="13.8" hidden="false" customHeight="false" outlineLevel="0" collapsed="false">
      <c r="A19" s="1" t="s">
        <v>79</v>
      </c>
      <c r="B19" s="1" t="str">
        <f aca="false">IF(  OR(ISNUMBER(SEARCH("SMOTEENN",A19)),ISNUMBER(SEARCH("SMOTETomek",A19))),  "Hybrid",  IF(   AND(    OR(ISNUMBER(SEARCH("SMOTE",A19)),ISNUMBER(SEARCH("SVMSMOTE",A19)),ISNUMBER(SEARCH("RandomOverSampler",A19)),ISNUMBER(SEARCH("BorderlineSmote",A19))),    OR(ISNUMBER(SEARCH("RandomUnderSampler",A19)),ISNUMBER(SEARCH("ClusterCentroids",A19)),ISNUMBER(SEARCH("OneSidedSelection",A19)))   ),   "Over+Under",   IF(    OR(ISNUMBER(SEARCH("SMOTE",A19)),ISNUMBER(SEARCH("SVMSMOTE",A19)),ISNUMBER(SEARCH("RandomOverSampler",A19)),ISNUMBER(SEARCH("BorderlineSmote",A19))),    "Oversampling",    IF(     OR(ISNUMBER(SEARCH("RandomUnderSampler",A19)),ISNUMBER(SEARCH("ClusterCentroids",A19)),ISNUMBER(SEARCH("OneSidedSelection",A19))),     "Undersampler",     "Czysty"    )   )  ) )</f>
        <v>Oversampling</v>
      </c>
      <c r="C19" s="1" t="s">
        <v>74</v>
      </c>
      <c r="D19" s="1" t="n">
        <v>0.6238</v>
      </c>
      <c r="E19" s="1" t="n">
        <v>0.6781</v>
      </c>
      <c r="F19" s="1" t="n">
        <v>0.7196</v>
      </c>
      <c r="G19" s="1" t="n">
        <v>0.6572</v>
      </c>
      <c r="I19" s="1"/>
      <c r="J19" s="1"/>
      <c r="K19" s="1"/>
      <c r="L19" s="1"/>
      <c r="M19" s="1"/>
      <c r="N19" s="1"/>
    </row>
    <row r="20" customFormat="false" ht="13.8" hidden="false" customHeight="false" outlineLevel="0" collapsed="false">
      <c r="A20" s="1" t="s">
        <v>80</v>
      </c>
      <c r="B20" s="1" t="str">
        <f aca="false">IF(  OR(ISNUMBER(SEARCH("SMOTEENN",A20)),ISNUMBER(SEARCH("SMOTETomek",A20))),  "Hybrid",  IF(   AND(    OR(ISNUMBER(SEARCH("SMOTE",A20)),ISNUMBER(SEARCH("SVMSMOTE",A20)),ISNUMBER(SEARCH("RandomOverSampler",A20)),ISNUMBER(SEARCH("BorderlineSmote",A20))),    OR(ISNUMBER(SEARCH("RandomUnderSampler",A20)),ISNUMBER(SEARCH("ClusterCentroids",A20)),ISNUMBER(SEARCH("OneSidedSelection",A20)))   ),   "Over+Under",   IF(    OR(ISNUMBER(SEARCH("SMOTE",A20)),ISNUMBER(SEARCH("SVMSMOTE",A20)),ISNUMBER(SEARCH("RandomOverSampler",A20)),ISNUMBER(SEARCH("BorderlineSmote",A20))),    "Oversampling",    IF(     OR(ISNUMBER(SEARCH("RandomUnderSampler",A20)),ISNUMBER(SEARCH("ClusterCentroids",A20)),ISNUMBER(SEARCH("OneSidedSelection",A20))),     "Undersampler",     "Czysty"    )   )  ) )</f>
        <v>Hybrid</v>
      </c>
      <c r="C20" s="1" t="s">
        <v>74</v>
      </c>
      <c r="D20" s="1" t="n">
        <v>0.5952</v>
      </c>
      <c r="E20" s="1" t="n">
        <v>0.6613</v>
      </c>
      <c r="F20" s="1" t="n">
        <v>0.6962</v>
      </c>
      <c r="G20" s="1" t="n">
        <v>0.6384</v>
      </c>
      <c r="I20" s="1"/>
      <c r="J20" s="1"/>
      <c r="K20" s="1"/>
      <c r="L20" s="1"/>
      <c r="M20" s="1"/>
      <c r="N20" s="1"/>
    </row>
    <row r="21" customFormat="false" ht="13.8" hidden="false" customHeight="false" outlineLevel="0" collapsed="false">
      <c r="A21" s="1" t="s">
        <v>81</v>
      </c>
      <c r="B21" s="1" t="str">
        <f aca="false">IF(  OR(ISNUMBER(SEARCH("SMOTEENN",A21)),ISNUMBER(SEARCH("SMOTETomek",A21))),  "Hybrid",  IF(   AND(    OR(ISNUMBER(SEARCH("SMOTE",A21)),ISNUMBER(SEARCH("SVMSMOTE",A21)),ISNUMBER(SEARCH("RandomOverSampler",A21)),ISNUMBER(SEARCH("BorderlineSmote",A21))),    OR(ISNUMBER(SEARCH("RandomUnderSampler",A21)),ISNUMBER(SEARCH("ClusterCentroids",A21)),ISNUMBER(SEARCH("OneSidedSelection",A21)))   ),   "Over+Under",   IF(    OR(ISNUMBER(SEARCH("SMOTE",A21)),ISNUMBER(SEARCH("SVMSMOTE",A21)),ISNUMBER(SEARCH("RandomOverSampler",A21)),ISNUMBER(SEARCH("BorderlineSmote",A21))),    "Oversampling",    IF(     OR(ISNUMBER(SEARCH("RandomUnderSampler",A21)),ISNUMBER(SEARCH("ClusterCentroids",A21)),ISNUMBER(SEARCH("OneSidedSelection",A21))),     "Undersampler",     "Czysty"    )   )  ) )</f>
        <v>Oversampling</v>
      </c>
      <c r="C21" s="1" t="s">
        <v>74</v>
      </c>
      <c r="D21" s="1" t="n">
        <v>0.5873</v>
      </c>
      <c r="E21" s="1" t="n">
        <v>0.653</v>
      </c>
      <c r="F21" s="1" t="n">
        <v>0.6902</v>
      </c>
      <c r="G21" s="1" t="n">
        <v>0.6311</v>
      </c>
      <c r="I21" s="1"/>
      <c r="J21" s="1"/>
      <c r="K21" s="1"/>
      <c r="L21" s="1"/>
      <c r="M21" s="1"/>
      <c r="N21" s="1"/>
    </row>
    <row r="22" customFormat="false" ht="13.8" hidden="false" customHeight="false" outlineLevel="0" collapsed="false">
      <c r="A22" s="1" t="s">
        <v>88</v>
      </c>
      <c r="B22" s="1" t="str">
        <f aca="false">IF(  OR(ISNUMBER(SEARCH("SMOTEENN",A22)),ISNUMBER(SEARCH("SMOTETomek",A22))),  "Hybrid",  IF(   AND(    OR(ISNUMBER(SEARCH("SMOTE",A22)),ISNUMBER(SEARCH("SVMSMOTE",A22)),ISNUMBER(SEARCH("RandomOverSampler",A22)),ISNUMBER(SEARCH("BorderlineSmote",A22))),    OR(ISNUMBER(SEARCH("RandomUnderSampler",A22)),ISNUMBER(SEARCH("ClusterCentroids",A22)),ISNUMBER(SEARCH("OneSidedSelection",A22)))   ),   "Over+Under",   IF(    OR(ISNUMBER(SEARCH("SMOTE",A22)),ISNUMBER(SEARCH("SVMSMOTE",A22)),ISNUMBER(SEARCH("RandomOverSampler",A22)),ISNUMBER(SEARCH("BorderlineSmote",A22))),    "Oversampling",    IF(     OR(ISNUMBER(SEARCH("RandomUnderSampler",A22)),ISNUMBER(SEARCH("ClusterCentroids",A22)),ISNUMBER(SEARCH("OneSidedSelection",A22))),     "Undersampler",     "Czysty"    )   )  ) )</f>
        <v>Over+Under</v>
      </c>
      <c r="C22" s="1" t="s">
        <v>74</v>
      </c>
      <c r="D22" s="1" t="n">
        <v>0.5762</v>
      </c>
      <c r="E22" s="1" t="n">
        <v>0.6277</v>
      </c>
      <c r="F22" s="1" t="n">
        <v>0.6854</v>
      </c>
      <c r="G22" s="1" t="n">
        <v>0.6315</v>
      </c>
      <c r="I22" s="1"/>
      <c r="J22" s="1"/>
      <c r="K22" s="1"/>
      <c r="L22" s="1"/>
      <c r="M22" s="1"/>
      <c r="N22" s="1"/>
    </row>
    <row r="23" customFormat="false" ht="13.8" hidden="false" customHeight="false" outlineLevel="0" collapsed="false">
      <c r="A23" s="1" t="s">
        <v>126</v>
      </c>
      <c r="B23" s="1" t="str">
        <f aca="false">IF(  OR(ISNUMBER(SEARCH("SMOTEENN",A23)),ISNUMBER(SEARCH("SMOTETomek",A23))),  "Hybrid",  IF(   AND(    OR(ISNUMBER(SEARCH("SMOTE",A23)),ISNUMBER(SEARCH("SVMSMOTE",A23)),ISNUMBER(SEARCH("RandomOverSampler",A23)),ISNUMBER(SEARCH("BorderlineSmote",A23))),    OR(ISNUMBER(SEARCH("RandomUnderSampler",A23)),ISNUMBER(SEARCH("ClusterCentroids",A23)),ISNUMBER(SEARCH("OneSidedSelection",A23)))   ),   "Over+Under",   IF(    OR(ISNUMBER(SEARCH("SMOTE",A23)),ISNUMBER(SEARCH("SVMSMOTE",A23)),ISNUMBER(SEARCH("RandomOverSampler",A23)),ISNUMBER(SEARCH("BorderlineSmote",A23))),    "Oversampling",    IF(     OR(ISNUMBER(SEARCH("RandomUnderSampler",A23)),ISNUMBER(SEARCH("ClusterCentroids",A23)),ISNUMBER(SEARCH("OneSidedSelection",A23))),     "Undersampler",     "Czysty"    )   )  ) )</f>
        <v>Oversampling</v>
      </c>
      <c r="C23" s="1" t="s">
        <v>74</v>
      </c>
      <c r="D23" s="1" t="n">
        <v>0.5714</v>
      </c>
      <c r="E23" s="1" t="n">
        <v>0.6193</v>
      </c>
      <c r="F23" s="1" t="n">
        <v>0.6886</v>
      </c>
      <c r="G23" s="1" t="n">
        <v>0.592</v>
      </c>
      <c r="I23" s="1"/>
      <c r="J23" s="1"/>
      <c r="K23" s="1"/>
      <c r="L23" s="1"/>
      <c r="M23" s="1"/>
      <c r="N23" s="1"/>
    </row>
    <row r="24" customFormat="false" ht="13.8" hidden="false" customHeight="false" outlineLevel="0" collapsed="false">
      <c r="A24" s="1" t="s">
        <v>82</v>
      </c>
      <c r="B24" s="1" t="str">
        <f aca="false">IF(  OR(ISNUMBER(SEARCH("SMOTEENN",A24)),ISNUMBER(SEARCH("SMOTETomek",A24))),  "Hybrid",  IF(   AND(    OR(ISNUMBER(SEARCH("SMOTE",A24)),ISNUMBER(SEARCH("SVMSMOTE",A24)),ISNUMBER(SEARCH("RandomOverSampler",A24)),ISNUMBER(SEARCH("BorderlineSmote",A24))),    OR(ISNUMBER(SEARCH("RandomUnderSampler",A24)),ISNUMBER(SEARCH("ClusterCentroids",A24)),ISNUMBER(SEARCH("OneSidedSelection",A24)))   ),   "Over+Under",   IF(    OR(ISNUMBER(SEARCH("SMOTE",A24)),ISNUMBER(SEARCH("SVMSMOTE",A24)),ISNUMBER(SEARCH("RandomOverSampler",A24)),ISNUMBER(SEARCH("BorderlineSmote",A24))),    "Oversampling",    IF(     OR(ISNUMBER(SEARCH("RandomUnderSampler",A24)),ISNUMBER(SEARCH("ClusterCentroids",A24)),ISNUMBER(SEARCH("OneSidedSelection",A24))),     "Undersampler",     "Czysty"    )   )  ) )</f>
        <v>Over+Under</v>
      </c>
      <c r="C24" s="1" t="s">
        <v>74</v>
      </c>
      <c r="D24" s="1" t="n">
        <v>0.5381</v>
      </c>
      <c r="E24" s="1" t="n">
        <v>0.5704</v>
      </c>
      <c r="F24" s="1" t="n">
        <v>0.5498</v>
      </c>
      <c r="G24" s="1" t="n">
        <v>0.6305</v>
      </c>
      <c r="I24" s="1"/>
      <c r="J24" s="1"/>
      <c r="K24" s="1"/>
      <c r="L24" s="1"/>
      <c r="M24" s="1"/>
      <c r="N24" s="1"/>
    </row>
    <row r="25" customFormat="false" ht="13.8" hidden="false" customHeight="false" outlineLevel="0" collapsed="false">
      <c r="A25" s="1" t="s">
        <v>86</v>
      </c>
      <c r="B25" s="1" t="str">
        <f aca="false">IF(  OR(ISNUMBER(SEARCH("SMOTEENN",A25)),ISNUMBER(SEARCH("SMOTETomek",A25))),  "Hybrid",  IF(   AND(    OR(ISNUMBER(SEARCH("SMOTE",A25)),ISNUMBER(SEARCH("SVMSMOTE",A25)),ISNUMBER(SEARCH("RandomOverSampler",A25)),ISNUMBER(SEARCH("BorderlineSmote",A25))),    OR(ISNUMBER(SEARCH("RandomUnderSampler",A25)),ISNUMBER(SEARCH("ClusterCentroids",A25)),ISNUMBER(SEARCH("OneSidedSelection",A25)))   ),   "Over+Under",   IF(    OR(ISNUMBER(SEARCH("SMOTE",A25)),ISNUMBER(SEARCH("SVMSMOTE",A25)),ISNUMBER(SEARCH("RandomOverSampler",A25)),ISNUMBER(SEARCH("BorderlineSmote",A25))),    "Oversampling",    IF(     OR(ISNUMBER(SEARCH("RandomUnderSampler",A25)),ISNUMBER(SEARCH("ClusterCentroids",A25)),ISNUMBER(SEARCH("OneSidedSelection",A25))),     "Undersampler",     "Czysty"    )   )  ) )</f>
        <v>Over+Under</v>
      </c>
      <c r="C25" s="1" t="s">
        <v>74</v>
      </c>
      <c r="D25" s="1" t="n">
        <v>0.5302</v>
      </c>
      <c r="E25" s="1" t="n">
        <v>0.5638</v>
      </c>
      <c r="F25" s="1" t="n">
        <v>0.5538</v>
      </c>
      <c r="G25" s="1" t="n">
        <v>0.6175</v>
      </c>
      <c r="I25" s="1"/>
      <c r="J25" s="1"/>
      <c r="K25" s="1"/>
      <c r="L25" s="1"/>
      <c r="M25" s="1"/>
      <c r="N25" s="1"/>
    </row>
    <row r="26" customFormat="false" ht="13.8" hidden="false" customHeight="false" outlineLevel="0" collapsed="false">
      <c r="A26" s="1" t="s">
        <v>84</v>
      </c>
      <c r="B26" s="1" t="str">
        <f aca="false">IF(  OR(ISNUMBER(SEARCH("SMOTEENN",A26)),ISNUMBER(SEARCH("SMOTETomek",A26))),  "Hybrid",  IF(   AND(    OR(ISNUMBER(SEARCH("SMOTE",A26)),ISNUMBER(SEARCH("SVMSMOTE",A26)),ISNUMBER(SEARCH("RandomOverSampler",A26)),ISNUMBER(SEARCH("BorderlineSmote",A26))),    OR(ISNUMBER(SEARCH("RandomUnderSampler",A26)),ISNUMBER(SEARCH("ClusterCentroids",A26)),ISNUMBER(SEARCH("OneSidedSelection",A26)))   ),   "Over+Under",   IF(    OR(ISNUMBER(SEARCH("SMOTE",A26)),ISNUMBER(SEARCH("SVMSMOTE",A26)),ISNUMBER(SEARCH("RandomOverSampler",A26)),ISNUMBER(SEARCH("BorderlineSmote",A26))),    "Oversampling",    IF(     OR(ISNUMBER(SEARCH("RandomUnderSampler",A26)),ISNUMBER(SEARCH("ClusterCentroids",A26)),ISNUMBER(SEARCH("OneSidedSelection",A26))),     "Undersampler",     "Czysty"    )   )  ) )</f>
        <v>Over+Under</v>
      </c>
      <c r="C26" s="1" t="s">
        <v>74</v>
      </c>
      <c r="D26" s="1" t="n">
        <v>0.5286</v>
      </c>
      <c r="E26" s="1" t="n">
        <v>0.5566</v>
      </c>
      <c r="F26" s="1" t="n">
        <v>0.5887</v>
      </c>
      <c r="G26" s="1" t="n">
        <v>0.5725</v>
      </c>
      <c r="I26" s="1"/>
      <c r="J26" s="1"/>
      <c r="K26" s="1"/>
      <c r="L26" s="1"/>
      <c r="M26" s="1"/>
      <c r="N26" s="1"/>
    </row>
    <row r="27" customFormat="false" ht="13.8" hidden="false" customHeight="false" outlineLevel="0" collapsed="false">
      <c r="A27" s="1" t="s">
        <v>124</v>
      </c>
      <c r="B27" s="1" t="str">
        <f aca="false">IF(  OR(ISNUMBER(SEARCH("SMOTEENN",A27)),ISNUMBER(SEARCH("SMOTETomek",A27))),  "Hybrid",  IF(   AND(    OR(ISNUMBER(SEARCH("SMOTE",A27)),ISNUMBER(SEARCH("SVMSMOTE",A27)),ISNUMBER(SEARCH("RandomOverSampler",A27)),ISNUMBER(SEARCH("BorderlineSmote",A27))),    OR(ISNUMBER(SEARCH("RandomUnderSampler",A27)),ISNUMBER(SEARCH("ClusterCentroids",A27)),ISNUMBER(SEARCH("OneSidedSelection",A27)))   ),   "Over+Under",   IF(    OR(ISNUMBER(SEARCH("SMOTE",A27)),ISNUMBER(SEARCH("SVMSMOTE",A27)),ISNUMBER(SEARCH("RandomOverSampler",A27)),ISNUMBER(SEARCH("BorderlineSmote",A27))),    "Oversampling",    IF(     OR(ISNUMBER(SEARCH("RandomUnderSampler",A27)),ISNUMBER(SEARCH("ClusterCentroids",A27)),ISNUMBER(SEARCH("OneSidedSelection",A27))),     "Undersampler",     "Czysty"    )   )  ) )</f>
        <v>Over+Under</v>
      </c>
      <c r="C27" s="1" t="s">
        <v>74</v>
      </c>
      <c r="D27" s="1" t="n">
        <v>0.5111</v>
      </c>
      <c r="E27" s="1" t="n">
        <v>0.5423</v>
      </c>
      <c r="F27" s="1" t="n">
        <v>0.5313</v>
      </c>
      <c r="G27" s="1" t="n">
        <v>0.6095</v>
      </c>
      <c r="I27" s="1"/>
      <c r="J27" s="1"/>
      <c r="K27" s="1"/>
      <c r="L27" s="1"/>
      <c r="M27" s="1"/>
      <c r="N27" s="1"/>
    </row>
    <row r="28" customFormat="false" ht="13.8" hidden="false" customHeight="false" outlineLevel="0" collapsed="false">
      <c r="A28" s="1" t="s">
        <v>83</v>
      </c>
      <c r="B28" s="1" t="str">
        <f aca="false">IF(  OR(ISNUMBER(SEARCH("SMOTEENN",A28)),ISNUMBER(SEARCH("SMOTETomek",A28))),  "Hybrid",  IF(   AND(    OR(ISNUMBER(SEARCH("SMOTE",A28)),ISNUMBER(SEARCH("SVMSMOTE",A28)),ISNUMBER(SEARCH("RandomOverSampler",A28)),ISNUMBER(SEARCH("BorderlineSmote",A28))),    OR(ISNUMBER(SEARCH("RandomUnderSampler",A28)),ISNUMBER(SEARCH("ClusterCentroids",A28)),ISNUMBER(SEARCH("OneSidedSelection",A28)))   ),   "Over+Under",   IF(    OR(ISNUMBER(SEARCH("SMOTE",A28)),ISNUMBER(SEARCH("SVMSMOTE",A28)),ISNUMBER(SEARCH("RandomOverSampler",A28)),ISNUMBER(SEARCH("BorderlineSmote",A28))),    "Oversampling",    IF(     OR(ISNUMBER(SEARCH("RandomUnderSampler",A28)),ISNUMBER(SEARCH("ClusterCentroids",A28)),ISNUMBER(SEARCH("OneSidedSelection",A28))),     "Undersampler",     "Czysty"    )   )  ) )</f>
        <v>Over+Under</v>
      </c>
      <c r="C28" s="1" t="s">
        <v>74</v>
      </c>
      <c r="D28" s="1" t="n">
        <v>0.4921</v>
      </c>
      <c r="E28" s="1" t="n">
        <v>0.5261</v>
      </c>
      <c r="F28" s="1" t="n">
        <v>0.5094</v>
      </c>
      <c r="G28" s="1" t="n">
        <v>0.5779</v>
      </c>
      <c r="I28" s="1"/>
      <c r="J28" s="1"/>
      <c r="K28" s="1"/>
      <c r="L28" s="1"/>
      <c r="M28" s="1"/>
      <c r="N28" s="1"/>
    </row>
    <row r="29" customFormat="false" ht="13.8" hidden="false" customHeight="false" outlineLevel="0" collapsed="false">
      <c r="A29" s="1" t="s">
        <v>125</v>
      </c>
      <c r="B29" s="1" t="str">
        <f aca="false">IF(  OR(ISNUMBER(SEARCH("SMOTEENN",A29)),ISNUMBER(SEARCH("SMOTETomek",A29))),  "Hybrid",  IF(   AND(    OR(ISNUMBER(SEARCH("SMOTE",A29)),ISNUMBER(SEARCH("SVMSMOTE",A29)),ISNUMBER(SEARCH("RandomOverSampler",A29)),ISNUMBER(SEARCH("BorderlineSmote",A29))),    OR(ISNUMBER(SEARCH("RandomUnderSampler",A29)),ISNUMBER(SEARCH("ClusterCentroids",A29)),ISNUMBER(SEARCH("OneSidedSelection",A29)))   ),   "Over+Under",   IF(    OR(ISNUMBER(SEARCH("SMOTE",A29)),ISNUMBER(SEARCH("SVMSMOTE",A29)),ISNUMBER(SEARCH("RandomOverSampler",A29)),ISNUMBER(SEARCH("BorderlineSmote",A29))),    "Oversampling",    IF(     OR(ISNUMBER(SEARCH("RandomUnderSampler",A29)),ISNUMBER(SEARCH("ClusterCentroids",A29)),ISNUMBER(SEARCH("OneSidedSelection",A29))),     "Undersampler",     "Czysty"    )   )  ) )</f>
        <v>Over+Under</v>
      </c>
      <c r="C29" s="1" t="s">
        <v>74</v>
      </c>
      <c r="D29" s="1" t="n">
        <v>0.5016</v>
      </c>
      <c r="E29" s="1" t="n">
        <v>0.5252</v>
      </c>
      <c r="F29" s="1" t="n">
        <v>0.5205</v>
      </c>
      <c r="G29" s="1" t="n">
        <v>0.6098</v>
      </c>
      <c r="I29" s="1"/>
      <c r="J29" s="1"/>
      <c r="K29" s="1"/>
      <c r="L29" s="1"/>
      <c r="M29" s="1"/>
      <c r="N29" s="1"/>
    </row>
    <row r="30" customFormat="false" ht="13.8" hidden="false" customHeight="false" outlineLevel="0" collapsed="false">
      <c r="A30" s="1" t="s">
        <v>85</v>
      </c>
      <c r="B30" s="1" t="str">
        <f aca="false">IF(  OR(ISNUMBER(SEARCH("SMOTEENN",A30)),ISNUMBER(SEARCH("SMOTETomek",A30))),  "Hybrid",  IF(   AND(    OR(ISNUMBER(SEARCH("SMOTE",A30)),ISNUMBER(SEARCH("SVMSMOTE",A30)),ISNUMBER(SEARCH("RandomOverSampler",A30)),ISNUMBER(SEARCH("BorderlineSmote",A30))),    OR(ISNUMBER(SEARCH("RandomUnderSampler",A30)),ISNUMBER(SEARCH("ClusterCentroids",A30)),ISNUMBER(SEARCH("OneSidedSelection",A30)))   ),   "Over+Under",   IF(    OR(ISNUMBER(SEARCH("SMOTE",A30)),ISNUMBER(SEARCH("SVMSMOTE",A30)),ISNUMBER(SEARCH("RandomOverSampler",A30)),ISNUMBER(SEARCH("BorderlineSmote",A30))),    "Oversampling",    IF(     OR(ISNUMBER(SEARCH("RandomUnderSampler",A30)),ISNUMBER(SEARCH("ClusterCentroids",A30)),ISNUMBER(SEARCH("OneSidedSelection",A30))),     "Undersampler",     "Czysty"    )   )  ) )</f>
        <v>Over+Under</v>
      </c>
      <c r="C30" s="1" t="s">
        <v>74</v>
      </c>
      <c r="D30" s="1" t="n">
        <v>0.5032</v>
      </c>
      <c r="E30" s="1" t="n">
        <v>0.5191</v>
      </c>
      <c r="F30" s="1" t="n">
        <v>0.5093</v>
      </c>
      <c r="G30" s="1" t="n">
        <v>0.5832</v>
      </c>
      <c r="I30" s="1"/>
      <c r="J30" s="1"/>
      <c r="K30" s="1"/>
      <c r="L30" s="1"/>
      <c r="M30" s="1"/>
      <c r="N30" s="1"/>
    </row>
    <row r="31" customFormat="false" ht="13.8" hidden="false" customHeight="false" outlineLevel="0" collapsed="false">
      <c r="A31" s="1" t="s">
        <v>1</v>
      </c>
      <c r="B31" s="1" t="str">
        <f aca="false">IF(  OR(ISNUMBER(SEARCH("SMOTEENN",A31)),ISNUMBER(SEARCH("SMOTETomek",A31))),  "Hybrid",  IF(   AND(    OR(ISNUMBER(SEARCH("SMOTE",A31)),ISNUMBER(SEARCH("SVMSMOTE",A31)),ISNUMBER(SEARCH("RandomOverSampler",A31)),ISNUMBER(SEARCH("BorderlineSmote",A31))),    OR(ISNUMBER(SEARCH("RandomUnderSampler",A31)),ISNUMBER(SEARCH("ClusterCentroids",A31)),ISNUMBER(SEARCH("OneSidedSelection",A31)))   ),   "Over+Under",   IF(    OR(ISNUMBER(SEARCH("SMOTE",A31)),ISNUMBER(SEARCH("SVMSMOTE",A31)),ISNUMBER(SEARCH("RandomOverSampler",A31)),ISNUMBER(SEARCH("BorderlineSmote",A31))),    "Oversampling",    IF(     OR(ISNUMBER(SEARCH("RandomUnderSampler",A31)),ISNUMBER(SEARCH("ClusterCentroids",A31)),ISNUMBER(SEARCH("OneSidedSelection",A31))),     "Undersampler",     "Czysty"    )   )  ) )</f>
        <v>Czysty</v>
      </c>
      <c r="C31" s="1" t="s">
        <v>74</v>
      </c>
      <c r="D31" s="1" t="n">
        <v>0.5556</v>
      </c>
      <c r="E31" s="1" t="n">
        <v>0.5034</v>
      </c>
      <c r="F31" s="1" t="n">
        <v>0.6918</v>
      </c>
      <c r="G31" s="1" t="n">
        <v>0.4673</v>
      </c>
      <c r="I31" s="1"/>
      <c r="J31" s="1"/>
      <c r="K31" s="1"/>
      <c r="L31" s="1"/>
      <c r="M31" s="1"/>
      <c r="N31" s="1"/>
    </row>
    <row r="32" customFormat="false" ht="13.8" hidden="false" customHeight="false" outlineLevel="0" collapsed="false">
      <c r="A32" s="1" t="s">
        <v>87</v>
      </c>
      <c r="B32" s="1" t="str">
        <f aca="false">IF(  OR(ISNUMBER(SEARCH("SMOTEENN",A32)),ISNUMBER(SEARCH("SMOTETomek",A32))),  "Hybrid",  IF(   AND(    OR(ISNUMBER(SEARCH("SMOTE",A32)),ISNUMBER(SEARCH("SVMSMOTE",A32)),ISNUMBER(SEARCH("RandomOverSampler",A32)),ISNUMBER(SEARCH("BorderlineSmote",A32))),    OR(ISNUMBER(SEARCH("RandomUnderSampler",A32)),ISNUMBER(SEARCH("ClusterCentroids",A32)),ISNUMBER(SEARCH("OneSidedSelection",A32)))   ),   "Over+Under",   IF(    OR(ISNUMBER(SEARCH("SMOTE",A32)),ISNUMBER(SEARCH("SVMSMOTE",A32)),ISNUMBER(SEARCH("RandomOverSampler",A32)),ISNUMBER(SEARCH("BorderlineSmote",A32))),    "Oversampling",    IF(     OR(ISNUMBER(SEARCH("RandomUnderSampler",A32)),ISNUMBER(SEARCH("ClusterCentroids",A32)),ISNUMBER(SEARCH("OneSidedSelection",A32))),     "Undersampler",     "Czysty"    )   )  ) )</f>
        <v>Hybrid</v>
      </c>
      <c r="C32" s="1" t="s">
        <v>74</v>
      </c>
      <c r="D32" s="1" t="n">
        <v>0.4651</v>
      </c>
      <c r="E32" s="1" t="n">
        <v>0.4388</v>
      </c>
      <c r="F32" s="1" t="n">
        <v>0.5468</v>
      </c>
      <c r="G32" s="1" t="n">
        <v>0.5956</v>
      </c>
      <c r="I32" s="1"/>
      <c r="J32" s="1"/>
      <c r="K32" s="1"/>
      <c r="L32" s="1"/>
      <c r="M32" s="1"/>
      <c r="N32" s="1"/>
    </row>
    <row r="34" customFormat="false" ht="13.8" hidden="false" customHeight="false" outlineLevel="0" collapsed="false">
      <c r="A34" s="2" t="s">
        <v>17</v>
      </c>
      <c r="B34" s="2"/>
      <c r="C34" s="2"/>
      <c r="D34" s="2"/>
      <c r="E34" s="2"/>
      <c r="F34" s="2"/>
      <c r="G34" s="2"/>
    </row>
    <row r="35" customFormat="false" ht="13.8" hidden="false" customHeight="false" outlineLevel="0" collapsed="false">
      <c r="A35" s="4" t="s">
        <v>2</v>
      </c>
      <c r="B35" s="4" t="s">
        <v>4</v>
      </c>
      <c r="C35" s="4" t="s">
        <v>5</v>
      </c>
      <c r="D35" s="4" t="s">
        <v>6</v>
      </c>
      <c r="E35" s="4" t="s">
        <v>127</v>
      </c>
      <c r="F35" s="4" t="s">
        <v>9</v>
      </c>
      <c r="G35" s="4" t="s">
        <v>10</v>
      </c>
    </row>
    <row r="36" customFormat="false" ht="13.8" hidden="false" customHeight="false" outlineLevel="0" collapsed="false">
      <c r="A36" s="1" t="s">
        <v>123</v>
      </c>
      <c r="B36" s="1" t="str">
        <f aca="false">IF(  OR(ISNUMBER(SEARCH("SMOTEENN",A36)),ISNUMBER(SEARCH("SMOTETomek",A36))),  "Hybrid",  IF(   AND(    OR(ISNUMBER(SEARCH("SMOTE",A36)),ISNUMBER(SEARCH("SVMSMOTE",A36)),ISNUMBER(SEARCH("RandomOverSampler",A36)),ISNUMBER(SEARCH("BorderlineSmote",A36))),    OR(ISNUMBER(SEARCH("RandomUnderSampler",A36)),ISNUMBER(SEARCH("ClusterCentroids",A36)),ISNUMBER(SEARCH("OneSidedSelection",A36)))   ),   "Over+Under",   IF(    OR(ISNUMBER(SEARCH("SMOTE",A36)),ISNUMBER(SEARCH("SVMSMOTE",A36)),ISNUMBER(SEARCH("RandomOverSampler",A36)),ISNUMBER(SEARCH("BorderlineSmote",A36))),    "Oversampling",    IF(     OR(ISNUMBER(SEARCH("RandomUnderSampler",A36)),ISNUMBER(SEARCH("ClusterCentroids",A36)),ISNUMBER(SEARCH("OneSidedSelection",A36))),     "Undersampler",     "Czysty"    )   )  ) )</f>
        <v>Oversampling</v>
      </c>
      <c r="C36" s="1" t="s">
        <v>14</v>
      </c>
      <c r="D36" s="1" t="n">
        <v>0.6</v>
      </c>
      <c r="E36" s="1" t="n">
        <v>0.6568</v>
      </c>
      <c r="F36" s="1" t="n">
        <v>0.6695</v>
      </c>
      <c r="G36" s="1" t="n">
        <v>0.6492</v>
      </c>
      <c r="I36" s="1"/>
      <c r="J36" s="1"/>
      <c r="K36" s="1"/>
      <c r="L36" s="1"/>
      <c r="M36" s="1"/>
      <c r="N36" s="1"/>
    </row>
    <row r="37" customFormat="false" ht="13.8" hidden="false" customHeight="false" outlineLevel="0" collapsed="false">
      <c r="A37" s="1" t="s">
        <v>80</v>
      </c>
      <c r="B37" s="1" t="str">
        <f aca="false">IF(  OR(ISNUMBER(SEARCH("SMOTEENN",A37)),ISNUMBER(SEARCH("SMOTETomek",A37))),  "Hybrid",  IF(   AND(    OR(ISNUMBER(SEARCH("SMOTE",A37)),ISNUMBER(SEARCH("SVMSMOTE",A37)),ISNUMBER(SEARCH("RandomOverSampler",A37)),ISNUMBER(SEARCH("BorderlineSmote",A37))),    OR(ISNUMBER(SEARCH("RandomUnderSampler",A37)),ISNUMBER(SEARCH("ClusterCentroids",A37)),ISNUMBER(SEARCH("OneSidedSelection",A37)))   ),   "Over+Under",   IF(    OR(ISNUMBER(SEARCH("SMOTE",A37)),ISNUMBER(SEARCH("SVMSMOTE",A37)),ISNUMBER(SEARCH("RandomOverSampler",A37)),ISNUMBER(SEARCH("BorderlineSmote",A37))),    "Oversampling",    IF(     OR(ISNUMBER(SEARCH("RandomUnderSampler",A37)),ISNUMBER(SEARCH("ClusterCentroids",A37)),ISNUMBER(SEARCH("OneSidedSelection",A37))),     "Undersampler",     "Czysty"    )   )  ) )</f>
        <v>Hybrid</v>
      </c>
      <c r="C37" s="1" t="s">
        <v>14</v>
      </c>
      <c r="D37" s="1" t="n">
        <v>0.5841</v>
      </c>
      <c r="E37" s="1" t="n">
        <v>0.6271</v>
      </c>
      <c r="F37" s="1" t="n">
        <v>0.6697</v>
      </c>
      <c r="G37" s="1" t="n">
        <v>0.6088</v>
      </c>
      <c r="I37" s="1"/>
      <c r="J37" s="1"/>
      <c r="K37" s="1"/>
      <c r="L37" s="1"/>
      <c r="M37" s="1"/>
      <c r="N37" s="1"/>
    </row>
    <row r="38" customFormat="false" ht="13.8" hidden="false" customHeight="false" outlineLevel="0" collapsed="false">
      <c r="A38" s="1" t="s">
        <v>81</v>
      </c>
      <c r="B38" s="1" t="str">
        <f aca="false">IF(  OR(ISNUMBER(SEARCH("SMOTEENN",A38)),ISNUMBER(SEARCH("SMOTETomek",A38))),  "Hybrid",  IF(   AND(    OR(ISNUMBER(SEARCH("SMOTE",A38)),ISNUMBER(SEARCH("SVMSMOTE",A38)),ISNUMBER(SEARCH("RandomOverSampler",A38)),ISNUMBER(SEARCH("BorderlineSmote",A38))),    OR(ISNUMBER(SEARCH("RandomUnderSampler",A38)),ISNUMBER(SEARCH("ClusterCentroids",A38)),ISNUMBER(SEARCH("OneSidedSelection",A38)))   ),   "Over+Under",   IF(    OR(ISNUMBER(SEARCH("SMOTE",A38)),ISNUMBER(SEARCH("SVMSMOTE",A38)),ISNUMBER(SEARCH("RandomOverSampler",A38)),ISNUMBER(SEARCH("BorderlineSmote",A38))),    "Oversampling",    IF(     OR(ISNUMBER(SEARCH("RandomUnderSampler",A38)),ISNUMBER(SEARCH("ClusterCentroids",A38)),ISNUMBER(SEARCH("OneSidedSelection",A38))),     "Undersampler",     "Czysty"    )   )  ) )</f>
        <v>Oversampling</v>
      </c>
      <c r="C38" s="1" t="s">
        <v>14</v>
      </c>
      <c r="D38" s="1" t="n">
        <v>0.5762</v>
      </c>
      <c r="E38" s="1" t="n">
        <v>0.6175</v>
      </c>
      <c r="F38" s="1" t="n">
        <v>0.6555</v>
      </c>
      <c r="G38" s="1" t="n">
        <v>0.5962</v>
      </c>
      <c r="I38" s="1"/>
      <c r="J38" s="1"/>
      <c r="K38" s="1"/>
      <c r="L38" s="1"/>
      <c r="M38" s="1"/>
      <c r="N38" s="1"/>
    </row>
    <row r="39" customFormat="false" ht="13.8" hidden="false" customHeight="false" outlineLevel="0" collapsed="false">
      <c r="A39" s="1" t="s">
        <v>126</v>
      </c>
      <c r="B39" s="1" t="str">
        <f aca="false">IF(  OR(ISNUMBER(SEARCH("SMOTEENN",A39)),ISNUMBER(SEARCH("SMOTETomek",A39))),  "Hybrid",  IF(   AND(    OR(ISNUMBER(SEARCH("SMOTE",A39)),ISNUMBER(SEARCH("SVMSMOTE",A39)),ISNUMBER(SEARCH("RandomOverSampler",A39)),ISNUMBER(SEARCH("BorderlineSmote",A39))),    OR(ISNUMBER(SEARCH("RandomUnderSampler",A39)),ISNUMBER(SEARCH("ClusterCentroids",A39)),ISNUMBER(SEARCH("OneSidedSelection",A39)))   ),   "Over+Under",   IF(    OR(ISNUMBER(SEARCH("SMOTE",A39)),ISNUMBER(SEARCH("SVMSMOTE",A39)),ISNUMBER(SEARCH("RandomOverSampler",A39)),ISNUMBER(SEARCH("BorderlineSmote",A39))),    "Oversampling",    IF(     OR(ISNUMBER(SEARCH("RandomUnderSampler",A39)),ISNUMBER(SEARCH("ClusterCentroids",A39)),ISNUMBER(SEARCH("OneSidedSelection",A39))),     "Undersampler",     "Czysty"    )   )  ) )</f>
        <v>Oversampling</v>
      </c>
      <c r="C39" s="1" t="s">
        <v>14</v>
      </c>
      <c r="D39" s="1" t="n">
        <v>0.5873</v>
      </c>
      <c r="E39" s="1" t="n">
        <v>0.6038</v>
      </c>
      <c r="F39" s="1" t="n">
        <v>0.689</v>
      </c>
      <c r="G39" s="1" t="n">
        <v>0.5737</v>
      </c>
      <c r="I39" s="1"/>
      <c r="J39" s="1"/>
      <c r="K39" s="1"/>
      <c r="L39" s="1"/>
      <c r="M39" s="1"/>
      <c r="N39" s="1"/>
    </row>
    <row r="40" customFormat="false" ht="13.8" hidden="false" customHeight="false" outlineLevel="0" collapsed="false">
      <c r="A40" s="1" t="s">
        <v>88</v>
      </c>
      <c r="B40" s="1" t="str">
        <f aca="false">IF(  OR(ISNUMBER(SEARCH("SMOTEENN",A40)),ISNUMBER(SEARCH("SMOTETomek",A40))),  "Hybrid",  IF(   AND(    OR(ISNUMBER(SEARCH("SMOTE",A40)),ISNUMBER(SEARCH("SVMSMOTE",A40)),ISNUMBER(SEARCH("RandomOverSampler",A40)),ISNUMBER(SEARCH("BorderlineSmote",A40))),    OR(ISNUMBER(SEARCH("RandomUnderSampler",A40)),ISNUMBER(SEARCH("ClusterCentroids",A40)),ISNUMBER(SEARCH("OneSidedSelection",A40)))   ),   "Over+Under",   IF(    OR(ISNUMBER(SEARCH("SMOTE",A40)),ISNUMBER(SEARCH("SVMSMOTE",A40)),ISNUMBER(SEARCH("RandomOverSampler",A40)),ISNUMBER(SEARCH("BorderlineSmote",A40))),    "Oversampling",    IF(     OR(ISNUMBER(SEARCH("RandomUnderSampler",A40)),ISNUMBER(SEARCH("ClusterCentroids",A40)),ISNUMBER(SEARCH("OneSidedSelection",A40))),     "Undersampler",     "Czysty"    )   )  ) )</f>
        <v>Over+Under</v>
      </c>
      <c r="C40" s="1" t="s">
        <v>14</v>
      </c>
      <c r="D40" s="1" t="n">
        <v>0.5984</v>
      </c>
      <c r="E40" s="1" t="n">
        <v>0.5921</v>
      </c>
      <c r="F40" s="1" t="n">
        <v>0.6283</v>
      </c>
      <c r="G40" s="1" t="n">
        <v>0.6058</v>
      </c>
      <c r="I40" s="1"/>
      <c r="J40" s="1"/>
      <c r="K40" s="1"/>
      <c r="L40" s="1"/>
      <c r="M40" s="1"/>
      <c r="N40" s="1"/>
    </row>
    <row r="41" customFormat="false" ht="13.8" hidden="false" customHeight="false" outlineLevel="0" collapsed="false">
      <c r="A41" s="1" t="s">
        <v>79</v>
      </c>
      <c r="B41" s="1" t="str">
        <f aca="false">IF(  OR(ISNUMBER(SEARCH("SMOTEENN",A41)),ISNUMBER(SEARCH("SMOTETomek",A41))),  "Hybrid",  IF(   AND(    OR(ISNUMBER(SEARCH("SMOTE",A41)),ISNUMBER(SEARCH("SVMSMOTE",A41)),ISNUMBER(SEARCH("RandomOverSampler",A41)),ISNUMBER(SEARCH("BorderlineSmote",A41))),    OR(ISNUMBER(SEARCH("RandomUnderSampler",A41)),ISNUMBER(SEARCH("ClusterCentroids",A41)),ISNUMBER(SEARCH("OneSidedSelection",A41)))   ),   "Over+Under",   IF(    OR(ISNUMBER(SEARCH("SMOTE",A41)),ISNUMBER(SEARCH("SVMSMOTE",A41)),ISNUMBER(SEARCH("RandomOverSampler",A41)),ISNUMBER(SEARCH("BorderlineSmote",A41))),    "Oversampling",    IF(     OR(ISNUMBER(SEARCH("RandomUnderSampler",A41)),ISNUMBER(SEARCH("ClusterCentroids",A41)),ISNUMBER(SEARCH("OneSidedSelection",A41))),     "Undersampler",     "Czysty"    )   )  ) )</f>
        <v>Oversampling</v>
      </c>
      <c r="C41" s="1" t="s">
        <v>14</v>
      </c>
      <c r="D41" s="1" t="n">
        <v>0.5746</v>
      </c>
      <c r="E41" s="1" t="n">
        <v>0.5602</v>
      </c>
      <c r="F41" s="1" t="n">
        <v>0.6469</v>
      </c>
      <c r="G41" s="1" t="n">
        <v>0.5407</v>
      </c>
      <c r="I41" s="1"/>
      <c r="J41" s="1"/>
      <c r="K41" s="1"/>
      <c r="L41" s="1"/>
      <c r="M41" s="1"/>
      <c r="N41" s="1"/>
    </row>
    <row r="42" customFormat="false" ht="13.8" hidden="false" customHeight="false" outlineLevel="0" collapsed="false">
      <c r="A42" s="1" t="s">
        <v>17</v>
      </c>
      <c r="B42" s="1" t="str">
        <f aca="false">IF(  OR(ISNUMBER(SEARCH("SMOTEENN",A42)),ISNUMBER(SEARCH("SMOTETomek",A42))),  "Hybrid",  IF(   AND(    OR(ISNUMBER(SEARCH("SMOTE",A42)),ISNUMBER(SEARCH("SVMSMOTE",A42)),ISNUMBER(SEARCH("RandomOverSampler",A42)),ISNUMBER(SEARCH("BorderlineSmote",A42))),    OR(ISNUMBER(SEARCH("RandomUnderSampler",A42)),ISNUMBER(SEARCH("ClusterCentroids",A42)),ISNUMBER(SEARCH("OneSidedSelection",A42)))   ),   "Over+Under",   IF(    OR(ISNUMBER(SEARCH("SMOTE",A42)),ISNUMBER(SEARCH("SVMSMOTE",A42)),ISNUMBER(SEARCH("RandomOverSampler",A42)),ISNUMBER(SEARCH("BorderlineSmote",A42))),    "Oversampling",    IF(     OR(ISNUMBER(SEARCH("RandomUnderSampler",A42)),ISNUMBER(SEARCH("ClusterCentroids",A42)),ISNUMBER(SEARCH("OneSidedSelection",A42))),     "Undersampler",     "Czysty"    )   )  ) )</f>
        <v>Czysty</v>
      </c>
      <c r="C42" s="1" t="s">
        <v>14</v>
      </c>
      <c r="D42" s="1" t="n">
        <v>0.5921</v>
      </c>
      <c r="E42" s="1" t="n">
        <v>0.5565</v>
      </c>
      <c r="F42" s="1" t="n">
        <v>0.6371</v>
      </c>
      <c r="G42" s="1" t="n">
        <v>0.5296</v>
      </c>
      <c r="I42" s="1"/>
      <c r="J42" s="1"/>
      <c r="K42" s="1"/>
      <c r="L42" s="1"/>
      <c r="M42" s="1"/>
      <c r="N42" s="1"/>
    </row>
    <row r="43" customFormat="false" ht="13.8" hidden="false" customHeight="false" outlineLevel="0" collapsed="false">
      <c r="A43" s="1" t="s">
        <v>84</v>
      </c>
      <c r="B43" s="1" t="str">
        <f aca="false">IF(  OR(ISNUMBER(SEARCH("SMOTEENN",A43)),ISNUMBER(SEARCH("SMOTETomek",A43))),  "Hybrid",  IF(   AND(    OR(ISNUMBER(SEARCH("SMOTE",A43)),ISNUMBER(SEARCH("SVMSMOTE",A43)),ISNUMBER(SEARCH("RandomOverSampler",A43)),ISNUMBER(SEARCH("BorderlineSmote",A43))),    OR(ISNUMBER(SEARCH("RandomUnderSampler",A43)),ISNUMBER(SEARCH("ClusterCentroids",A43)),ISNUMBER(SEARCH("OneSidedSelection",A43)))   ),   "Over+Under",   IF(    OR(ISNUMBER(SEARCH("SMOTE",A43)),ISNUMBER(SEARCH("SVMSMOTE",A43)),ISNUMBER(SEARCH("RandomOverSampler",A43)),ISNUMBER(SEARCH("BorderlineSmote",A43))),    "Oversampling",    IF(     OR(ISNUMBER(SEARCH("RandomUnderSampler",A43)),ISNUMBER(SEARCH("ClusterCentroids",A43)),ISNUMBER(SEARCH("OneSidedSelection",A43))),     "Undersampler",     "Czysty"    )   )  ) )</f>
        <v>Over+Under</v>
      </c>
      <c r="C43" s="1" t="s">
        <v>14</v>
      </c>
      <c r="D43" s="1" t="n">
        <v>0.5413</v>
      </c>
      <c r="E43" s="1" t="n">
        <v>0.5458</v>
      </c>
      <c r="F43" s="1" t="n">
        <v>0.5871</v>
      </c>
      <c r="G43" s="1" t="n">
        <v>0.5437</v>
      </c>
      <c r="I43" s="1"/>
      <c r="J43" s="1"/>
      <c r="K43" s="1"/>
      <c r="L43" s="1"/>
      <c r="M43" s="1"/>
      <c r="N43" s="1"/>
    </row>
    <row r="44" customFormat="false" ht="13.8" hidden="false" customHeight="false" outlineLevel="0" collapsed="false">
      <c r="A44" s="1" t="s">
        <v>87</v>
      </c>
      <c r="B44" s="1" t="str">
        <f aca="false">IF(  OR(ISNUMBER(SEARCH("SMOTEENN",A44)),ISNUMBER(SEARCH("SMOTETomek",A44))),  "Hybrid",  IF(   AND(    OR(ISNUMBER(SEARCH("SMOTE",A44)),ISNUMBER(SEARCH("SVMSMOTE",A44)),ISNUMBER(SEARCH("RandomOverSampler",A44)),ISNUMBER(SEARCH("BorderlineSmote",A44))),    OR(ISNUMBER(SEARCH("RandomUnderSampler",A44)),ISNUMBER(SEARCH("ClusterCentroids",A44)),ISNUMBER(SEARCH("OneSidedSelection",A44)))   ),   "Over+Under",   IF(    OR(ISNUMBER(SEARCH("SMOTE",A44)),ISNUMBER(SEARCH("SVMSMOTE",A44)),ISNUMBER(SEARCH("RandomOverSampler",A44)),ISNUMBER(SEARCH("BorderlineSmote",A44))),    "Oversampling",    IF(     OR(ISNUMBER(SEARCH("RandomUnderSampler",A44)),ISNUMBER(SEARCH("ClusterCentroids",A44)),ISNUMBER(SEARCH("OneSidedSelection",A44))),     "Undersampler",     "Czysty"    )   )  ) )</f>
        <v>Hybrid</v>
      </c>
      <c r="C44" s="1" t="s">
        <v>14</v>
      </c>
      <c r="D44" s="1" t="n">
        <v>0.4587</v>
      </c>
      <c r="E44" s="1" t="n">
        <v>0.4246</v>
      </c>
      <c r="F44" s="1" t="n">
        <v>0.5102</v>
      </c>
      <c r="G44" s="1" t="n">
        <v>0.5566</v>
      </c>
      <c r="I44" s="1"/>
      <c r="J44" s="1"/>
      <c r="K44" s="1"/>
      <c r="L44" s="1"/>
      <c r="M44" s="1"/>
      <c r="N44" s="1"/>
    </row>
    <row r="45" customFormat="false" ht="13.8" hidden="false" customHeight="false" outlineLevel="0" collapsed="false">
      <c r="A45" s="1" t="s">
        <v>83</v>
      </c>
      <c r="B45" s="1" t="str">
        <f aca="false">IF(  OR(ISNUMBER(SEARCH("SMOTEENN",A45)),ISNUMBER(SEARCH("SMOTETomek",A45))),  "Hybrid",  IF(   AND(    OR(ISNUMBER(SEARCH("SMOTE",A45)),ISNUMBER(SEARCH("SVMSMOTE",A45)),ISNUMBER(SEARCH("RandomOverSampler",A45)),ISNUMBER(SEARCH("BorderlineSmote",A45))),    OR(ISNUMBER(SEARCH("RandomUnderSampler",A45)),ISNUMBER(SEARCH("ClusterCentroids",A45)),ISNUMBER(SEARCH("OneSidedSelection",A45)))   ),   "Over+Under",   IF(    OR(ISNUMBER(SEARCH("SMOTE",A45)),ISNUMBER(SEARCH("SVMSMOTE",A45)),ISNUMBER(SEARCH("RandomOverSampler",A45)),ISNUMBER(SEARCH("BorderlineSmote",A45))),    "Oversampling",    IF(     OR(ISNUMBER(SEARCH("RandomUnderSampler",A45)),ISNUMBER(SEARCH("ClusterCentroids",A45)),ISNUMBER(SEARCH("OneSidedSelection",A45))),     "Undersampler",     "Czysty"    )   )  ) )</f>
        <v>Over+Under</v>
      </c>
      <c r="C45" s="1" t="s">
        <v>14</v>
      </c>
      <c r="D45" s="1" t="n">
        <v>0.4095</v>
      </c>
      <c r="E45" s="1" t="n">
        <v>0.1937</v>
      </c>
      <c r="F45" s="1" t="n">
        <v>0.1365</v>
      </c>
      <c r="G45" s="1" t="n">
        <v>0.3333</v>
      </c>
      <c r="I45" s="1"/>
      <c r="J45" s="1"/>
      <c r="K45" s="1"/>
      <c r="L45" s="1"/>
      <c r="M45" s="1"/>
      <c r="N45" s="1"/>
    </row>
    <row r="46" customFormat="false" ht="13.8" hidden="false" customHeight="false" outlineLevel="0" collapsed="false">
      <c r="A46" s="1" t="s">
        <v>85</v>
      </c>
      <c r="B46" s="1" t="str">
        <f aca="false">IF(  OR(ISNUMBER(SEARCH("SMOTEENN",A46)),ISNUMBER(SEARCH("SMOTETomek",A46))),  "Hybrid",  IF(   AND(    OR(ISNUMBER(SEARCH("SMOTE",A46)),ISNUMBER(SEARCH("SVMSMOTE",A46)),ISNUMBER(SEARCH("RandomOverSampler",A46)),ISNUMBER(SEARCH("BorderlineSmote",A46))),    OR(ISNUMBER(SEARCH("RandomUnderSampler",A46)),ISNUMBER(SEARCH("ClusterCentroids",A46)),ISNUMBER(SEARCH("OneSidedSelection",A46)))   ),   "Over+Under",   IF(    OR(ISNUMBER(SEARCH("SMOTE",A46)),ISNUMBER(SEARCH("SVMSMOTE",A46)),ISNUMBER(SEARCH("RandomOverSampler",A46)),ISNUMBER(SEARCH("BorderlineSmote",A46))),    "Oversampling",    IF(     OR(ISNUMBER(SEARCH("RandomUnderSampler",A46)),ISNUMBER(SEARCH("ClusterCentroids",A46)),ISNUMBER(SEARCH("OneSidedSelection",A46))),     "Undersampler",     "Czysty"    )   )  ) )</f>
        <v>Over+Under</v>
      </c>
      <c r="C46" s="1" t="s">
        <v>14</v>
      </c>
      <c r="D46" s="1" t="n">
        <v>0.4095</v>
      </c>
      <c r="E46" s="1" t="n">
        <v>0.1937</v>
      </c>
      <c r="F46" s="1" t="n">
        <v>0.1365</v>
      </c>
      <c r="G46" s="1" t="n">
        <v>0.3333</v>
      </c>
      <c r="I46" s="1"/>
      <c r="J46" s="1"/>
      <c r="K46" s="1"/>
      <c r="L46" s="1"/>
      <c r="M46" s="1"/>
      <c r="N46" s="1"/>
    </row>
    <row r="47" customFormat="false" ht="13.8" hidden="false" customHeight="false" outlineLevel="0" collapsed="false">
      <c r="A47" s="1" t="s">
        <v>82</v>
      </c>
      <c r="B47" s="1" t="str">
        <f aca="false">IF(  OR(ISNUMBER(SEARCH("SMOTEENN",A47)),ISNUMBER(SEARCH("SMOTETomek",A47))),  "Hybrid",  IF(   AND(    OR(ISNUMBER(SEARCH("SMOTE",A47)),ISNUMBER(SEARCH("SVMSMOTE",A47)),ISNUMBER(SEARCH("RandomOverSampler",A47)),ISNUMBER(SEARCH("BorderlineSmote",A47))),    OR(ISNUMBER(SEARCH("RandomUnderSampler",A47)),ISNUMBER(SEARCH("ClusterCentroids",A47)),ISNUMBER(SEARCH("OneSidedSelection",A47)))   ),   "Over+Under",   IF(    OR(ISNUMBER(SEARCH("SMOTE",A47)),ISNUMBER(SEARCH("SVMSMOTE",A47)),ISNUMBER(SEARCH("RandomOverSampler",A47)),ISNUMBER(SEARCH("BorderlineSmote",A47))),    "Oversampling",    IF(     OR(ISNUMBER(SEARCH("RandomUnderSampler",A47)),ISNUMBER(SEARCH("ClusterCentroids",A47)),ISNUMBER(SEARCH("OneSidedSelection",A47))),     "Undersampler",     "Czysty"    )   )  ) )</f>
        <v>Over+Under</v>
      </c>
      <c r="C47" s="1" t="s">
        <v>14</v>
      </c>
      <c r="D47" s="1" t="n">
        <v>0.4095</v>
      </c>
      <c r="E47" s="1" t="n">
        <v>0.1937</v>
      </c>
      <c r="F47" s="1" t="n">
        <v>0.1365</v>
      </c>
      <c r="G47" s="1" t="n">
        <v>0.3333</v>
      </c>
      <c r="I47" s="1"/>
      <c r="J47" s="1"/>
      <c r="K47" s="1"/>
      <c r="L47" s="1"/>
      <c r="M47" s="1"/>
      <c r="N47" s="1"/>
    </row>
    <row r="48" customFormat="false" ht="13.8" hidden="false" customHeight="false" outlineLevel="0" collapsed="false">
      <c r="A48" s="1" t="s">
        <v>86</v>
      </c>
      <c r="B48" s="1" t="str">
        <f aca="false">IF(  OR(ISNUMBER(SEARCH("SMOTEENN",A48)),ISNUMBER(SEARCH("SMOTETomek",A48))),  "Hybrid",  IF(   AND(    OR(ISNUMBER(SEARCH("SMOTE",A48)),ISNUMBER(SEARCH("SVMSMOTE",A48)),ISNUMBER(SEARCH("RandomOverSampler",A48)),ISNUMBER(SEARCH("BorderlineSmote",A48))),    OR(ISNUMBER(SEARCH("RandomUnderSampler",A48)),ISNUMBER(SEARCH("ClusterCentroids",A48)),ISNUMBER(SEARCH("OneSidedSelection",A48)))   ),   "Over+Under",   IF(    OR(ISNUMBER(SEARCH("SMOTE",A48)),ISNUMBER(SEARCH("SVMSMOTE",A48)),ISNUMBER(SEARCH("RandomOverSampler",A48)),ISNUMBER(SEARCH("BorderlineSmote",A48))),    "Oversampling",    IF(     OR(ISNUMBER(SEARCH("RandomUnderSampler",A48)),ISNUMBER(SEARCH("ClusterCentroids",A48)),ISNUMBER(SEARCH("OneSidedSelection",A48))),     "Undersampler",     "Czysty"    )   )  ) )</f>
        <v>Over+Under</v>
      </c>
      <c r="C48" s="1" t="s">
        <v>14</v>
      </c>
      <c r="D48" s="1" t="n">
        <v>0.4095</v>
      </c>
      <c r="E48" s="1" t="n">
        <v>0.1937</v>
      </c>
      <c r="F48" s="1" t="n">
        <v>0.1365</v>
      </c>
      <c r="G48" s="1" t="n">
        <v>0.3333</v>
      </c>
      <c r="I48" s="1"/>
      <c r="J48" s="1"/>
      <c r="K48" s="1"/>
      <c r="L48" s="1"/>
      <c r="M48" s="1"/>
      <c r="N48" s="1"/>
    </row>
    <row r="49" customFormat="false" ht="13.8" hidden="false" customHeight="false" outlineLevel="0" collapsed="false">
      <c r="A49" s="1" t="s">
        <v>124</v>
      </c>
      <c r="B49" s="1" t="str">
        <f aca="false">IF(  OR(ISNUMBER(SEARCH("SMOTEENN",A49)),ISNUMBER(SEARCH("SMOTETomek",A49))),  "Hybrid",  IF(   AND(    OR(ISNUMBER(SEARCH("SMOTE",A49)),ISNUMBER(SEARCH("SVMSMOTE",A49)),ISNUMBER(SEARCH("RandomOverSampler",A49)),ISNUMBER(SEARCH("BorderlineSmote",A49))),    OR(ISNUMBER(SEARCH("RandomUnderSampler",A49)),ISNUMBER(SEARCH("ClusterCentroids",A49)),ISNUMBER(SEARCH("OneSidedSelection",A49)))   ),   "Over+Under",   IF(    OR(ISNUMBER(SEARCH("SMOTE",A49)),ISNUMBER(SEARCH("SVMSMOTE",A49)),ISNUMBER(SEARCH("RandomOverSampler",A49)),ISNUMBER(SEARCH("BorderlineSmote",A49))),    "Oversampling",    IF(     OR(ISNUMBER(SEARCH("RandomUnderSampler",A49)),ISNUMBER(SEARCH("ClusterCentroids",A49)),ISNUMBER(SEARCH("OneSidedSelection",A49))),     "Undersampler",     "Czysty"    )   )  ) )</f>
        <v>Over+Under</v>
      </c>
      <c r="C49" s="1" t="s">
        <v>14</v>
      </c>
      <c r="D49" s="1" t="n">
        <v>0.4095</v>
      </c>
      <c r="E49" s="1" t="n">
        <v>0.1937</v>
      </c>
      <c r="F49" s="1" t="n">
        <v>0.1365</v>
      </c>
      <c r="G49" s="1" t="n">
        <v>0.3333</v>
      </c>
      <c r="I49" s="1"/>
      <c r="J49" s="1"/>
      <c r="K49" s="1"/>
      <c r="L49" s="1"/>
      <c r="M49" s="1"/>
      <c r="N49" s="1"/>
    </row>
    <row r="50" customFormat="false" ht="13.8" hidden="false" customHeight="false" outlineLevel="0" collapsed="false">
      <c r="A50" s="1" t="s">
        <v>125</v>
      </c>
      <c r="B50" s="1" t="str">
        <f aca="false">IF(  OR(ISNUMBER(SEARCH("SMOTEENN",A50)),ISNUMBER(SEARCH("SMOTETomek",A50))),  "Hybrid",  IF(   AND(    OR(ISNUMBER(SEARCH("SMOTE",A50)),ISNUMBER(SEARCH("SVMSMOTE",A50)),ISNUMBER(SEARCH("RandomOverSampler",A50)),ISNUMBER(SEARCH("BorderlineSmote",A50))),    OR(ISNUMBER(SEARCH("RandomUnderSampler",A50)),ISNUMBER(SEARCH("ClusterCentroids",A50)),ISNUMBER(SEARCH("OneSidedSelection",A50)))   ),   "Over+Under",   IF(    OR(ISNUMBER(SEARCH("SMOTE",A50)),ISNUMBER(SEARCH("SVMSMOTE",A50)),ISNUMBER(SEARCH("RandomOverSampler",A50)),ISNUMBER(SEARCH("BorderlineSmote",A50))),    "Oversampling",    IF(     OR(ISNUMBER(SEARCH("RandomUnderSampler",A50)),ISNUMBER(SEARCH("ClusterCentroids",A50)),ISNUMBER(SEARCH("OneSidedSelection",A50))),     "Undersampler",     "Czysty"    )   )  ) )</f>
        <v>Over+Under</v>
      </c>
      <c r="C50" s="1" t="s">
        <v>14</v>
      </c>
      <c r="D50" s="1" t="n">
        <v>0.4095</v>
      </c>
      <c r="E50" s="1" t="n">
        <v>0.1937</v>
      </c>
      <c r="F50" s="1" t="n">
        <v>0.1365</v>
      </c>
      <c r="G50" s="1" t="n">
        <v>0.3333</v>
      </c>
      <c r="I50" s="1"/>
      <c r="J50" s="1"/>
      <c r="K50" s="1"/>
      <c r="L50" s="1"/>
      <c r="M50" s="1"/>
      <c r="N50" s="1"/>
    </row>
    <row r="51" customFormat="false" ht="13.8" hidden="false" customHeight="false" outlineLevel="0" collapsed="false">
      <c r="A51" s="1" t="s">
        <v>79</v>
      </c>
      <c r="B51" s="1" t="str">
        <f aca="false">IF(  OR(ISNUMBER(SEARCH("SMOTEENN",A51)),ISNUMBER(SEARCH("SMOTETomek",A51))),  "Hybrid",  IF(   AND(    OR(ISNUMBER(SEARCH("SMOTE",A51)),ISNUMBER(SEARCH("SVMSMOTE",A51)),ISNUMBER(SEARCH("RandomOverSampler",A51)),ISNUMBER(SEARCH("BorderlineSmote",A51))),    OR(ISNUMBER(SEARCH("RandomUnderSampler",A51)),ISNUMBER(SEARCH("ClusterCentroids",A51)),ISNUMBER(SEARCH("OneSidedSelection",A51)))   ),   "Over+Under",   IF(    OR(ISNUMBER(SEARCH("SMOTE",A51)),ISNUMBER(SEARCH("SVMSMOTE",A51)),ISNUMBER(SEARCH("RandomOverSampler",A51)),ISNUMBER(SEARCH("BorderlineSmote",A51))),    "Oversampling",    IF(     OR(ISNUMBER(SEARCH("RandomUnderSampler",A51)),ISNUMBER(SEARCH("ClusterCentroids",A51)),ISNUMBER(SEARCH("OneSidedSelection",A51))),     "Undersampler",     "Czysty"    )   )  ) )</f>
        <v>Oversampling</v>
      </c>
      <c r="C51" s="1" t="s">
        <v>74</v>
      </c>
      <c r="D51" s="1" t="n">
        <v>0.6286</v>
      </c>
      <c r="E51" s="1" t="n">
        <v>0.6455</v>
      </c>
      <c r="F51" s="1" t="n">
        <v>0.6923</v>
      </c>
      <c r="G51" s="1" t="n">
        <v>0.6233</v>
      </c>
      <c r="I51" s="1"/>
      <c r="J51" s="1"/>
      <c r="K51" s="1"/>
      <c r="L51" s="1"/>
      <c r="M51" s="1"/>
      <c r="N51" s="1"/>
    </row>
    <row r="52" customFormat="false" ht="13.8" hidden="false" customHeight="false" outlineLevel="0" collapsed="false">
      <c r="A52" s="1" t="s">
        <v>123</v>
      </c>
      <c r="B52" s="1" t="str">
        <f aca="false">IF(  OR(ISNUMBER(SEARCH("SMOTEENN",A52)),ISNUMBER(SEARCH("SMOTETomek",A52))),  "Hybrid",  IF(   AND(    OR(ISNUMBER(SEARCH("SMOTE",A52)),ISNUMBER(SEARCH("SVMSMOTE",A52)),ISNUMBER(SEARCH("RandomOverSampler",A52)),ISNUMBER(SEARCH("BorderlineSmote",A52))),    OR(ISNUMBER(SEARCH("RandomUnderSampler",A52)),ISNUMBER(SEARCH("ClusterCentroids",A52)),ISNUMBER(SEARCH("OneSidedSelection",A52)))   ),   "Over+Under",   IF(    OR(ISNUMBER(SEARCH("SMOTE",A52)),ISNUMBER(SEARCH("SVMSMOTE",A52)),ISNUMBER(SEARCH("RandomOverSampler",A52)),ISNUMBER(SEARCH("BorderlineSmote",A52))),    "Oversampling",    IF(     OR(ISNUMBER(SEARCH("RandomUnderSampler",A52)),ISNUMBER(SEARCH("ClusterCentroids",A52)),ISNUMBER(SEARCH("OneSidedSelection",A52))),     "Undersampler",     "Czysty"    )   )  ) )</f>
        <v>Oversampling</v>
      </c>
      <c r="C52" s="1" t="s">
        <v>74</v>
      </c>
      <c r="D52" s="1" t="n">
        <v>0.5889</v>
      </c>
      <c r="E52" s="1" t="n">
        <v>0.6365</v>
      </c>
      <c r="F52" s="1" t="n">
        <v>0.6584</v>
      </c>
      <c r="G52" s="1" t="n">
        <v>0.624</v>
      </c>
      <c r="I52" s="1"/>
      <c r="J52" s="1"/>
      <c r="K52" s="1"/>
      <c r="L52" s="1"/>
      <c r="M52" s="1"/>
      <c r="N52" s="1"/>
    </row>
    <row r="53" customFormat="false" ht="13.8" hidden="false" customHeight="false" outlineLevel="0" collapsed="false">
      <c r="A53" s="1" t="s">
        <v>126</v>
      </c>
      <c r="B53" s="1" t="str">
        <f aca="false">IF(  OR(ISNUMBER(SEARCH("SMOTEENN",A53)),ISNUMBER(SEARCH("SMOTETomek",A53))),  "Hybrid",  IF(   AND(    OR(ISNUMBER(SEARCH("SMOTE",A53)),ISNUMBER(SEARCH("SVMSMOTE",A53)),ISNUMBER(SEARCH("RandomOverSampler",A53)),ISNUMBER(SEARCH("BorderlineSmote",A53))),    OR(ISNUMBER(SEARCH("RandomUnderSampler",A53)),ISNUMBER(SEARCH("ClusterCentroids",A53)),ISNUMBER(SEARCH("OneSidedSelection",A53)))   ),   "Over+Under",   IF(    OR(ISNUMBER(SEARCH("SMOTE",A53)),ISNUMBER(SEARCH("SVMSMOTE",A53)),ISNUMBER(SEARCH("RandomOverSampler",A53)),ISNUMBER(SEARCH("BorderlineSmote",A53))),    "Oversampling",    IF(     OR(ISNUMBER(SEARCH("RandomUnderSampler",A53)),ISNUMBER(SEARCH("ClusterCentroids",A53)),ISNUMBER(SEARCH("OneSidedSelection",A53))),     "Undersampler",     "Czysty"    )   )  ) )</f>
        <v>Oversampling</v>
      </c>
      <c r="C53" s="1" t="s">
        <v>74</v>
      </c>
      <c r="D53" s="1" t="n">
        <v>0.6063</v>
      </c>
      <c r="E53" s="1" t="n">
        <v>0.6335</v>
      </c>
      <c r="F53" s="1" t="n">
        <v>0.684</v>
      </c>
      <c r="G53" s="1" t="n">
        <v>0.6076</v>
      </c>
      <c r="I53" s="1"/>
      <c r="J53" s="1"/>
      <c r="K53" s="1"/>
      <c r="L53" s="1"/>
      <c r="M53" s="1"/>
      <c r="N53" s="1"/>
    </row>
    <row r="54" customFormat="false" ht="13.8" hidden="false" customHeight="false" outlineLevel="0" collapsed="false">
      <c r="A54" s="1" t="s">
        <v>80</v>
      </c>
      <c r="B54" s="1" t="str">
        <f aca="false">IF(  OR(ISNUMBER(SEARCH("SMOTEENN",A54)),ISNUMBER(SEARCH("SMOTETomek",A54))),  "Hybrid",  IF(   AND(    OR(ISNUMBER(SEARCH("SMOTE",A54)),ISNUMBER(SEARCH("SVMSMOTE",A54)),ISNUMBER(SEARCH("RandomOverSampler",A54)),ISNUMBER(SEARCH("BorderlineSmote",A54))),    OR(ISNUMBER(SEARCH("RandomUnderSampler",A54)),ISNUMBER(SEARCH("ClusterCentroids",A54)),ISNUMBER(SEARCH("OneSidedSelection",A54)))   ),   "Over+Under",   IF(    OR(ISNUMBER(SEARCH("SMOTE",A54)),ISNUMBER(SEARCH("SVMSMOTE",A54)),ISNUMBER(SEARCH("RandomOverSampler",A54)),ISNUMBER(SEARCH("BorderlineSmote",A54))),    "Oversampling",    IF(     OR(ISNUMBER(SEARCH("RandomUnderSampler",A54)),ISNUMBER(SEARCH("ClusterCentroids",A54)),ISNUMBER(SEARCH("OneSidedSelection",A54))),     "Undersampler",     "Czysty"    )   )  ) )</f>
        <v>Hybrid</v>
      </c>
      <c r="C54" s="1" t="s">
        <v>74</v>
      </c>
      <c r="D54" s="1" t="n">
        <v>0.5778</v>
      </c>
      <c r="E54" s="1" t="n">
        <v>0.6308</v>
      </c>
      <c r="F54" s="1" t="n">
        <v>0.6745</v>
      </c>
      <c r="G54" s="1" t="n">
        <v>0.6058</v>
      </c>
      <c r="I54" s="1"/>
      <c r="J54" s="1"/>
      <c r="K54" s="1"/>
      <c r="L54" s="1"/>
      <c r="M54" s="1"/>
      <c r="N54" s="1"/>
    </row>
    <row r="55" customFormat="false" ht="13.8" hidden="false" customHeight="false" outlineLevel="0" collapsed="false">
      <c r="A55" s="1" t="s">
        <v>17</v>
      </c>
      <c r="B55" s="1" t="str">
        <f aca="false">IF(  OR(ISNUMBER(SEARCH("SMOTEENN",A55)),ISNUMBER(SEARCH("SMOTETomek",A55))),  "Hybrid",  IF(   AND(    OR(ISNUMBER(SEARCH("SMOTE",A55)),ISNUMBER(SEARCH("SVMSMOTE",A55)),ISNUMBER(SEARCH("RandomOverSampler",A55)),ISNUMBER(SEARCH("BorderlineSmote",A55))),    OR(ISNUMBER(SEARCH("RandomUnderSampler",A55)),ISNUMBER(SEARCH("ClusterCentroids",A55)),ISNUMBER(SEARCH("OneSidedSelection",A55)))   ),   "Over+Under",   IF(    OR(ISNUMBER(SEARCH("SMOTE",A55)),ISNUMBER(SEARCH("SVMSMOTE",A55)),ISNUMBER(SEARCH("RandomOverSampler",A55)),ISNUMBER(SEARCH("BorderlineSmote",A55))),    "Oversampling",    IF(     OR(ISNUMBER(SEARCH("RandomUnderSampler",A55)),ISNUMBER(SEARCH("ClusterCentroids",A55)),ISNUMBER(SEARCH("OneSidedSelection",A55))),     "Undersampler",     "Czysty"    )   )  ) )</f>
        <v>Czysty</v>
      </c>
      <c r="C55" s="1" t="s">
        <v>74</v>
      </c>
      <c r="D55" s="1" t="n">
        <v>0.6127</v>
      </c>
      <c r="E55" s="1" t="n">
        <v>0.6148</v>
      </c>
      <c r="F55" s="1" t="n">
        <v>0.6733</v>
      </c>
      <c r="G55" s="1" t="n">
        <v>0.5859</v>
      </c>
      <c r="I55" s="1"/>
      <c r="J55" s="1"/>
      <c r="K55" s="1"/>
      <c r="L55" s="1"/>
      <c r="M55" s="1"/>
      <c r="N55" s="1"/>
    </row>
    <row r="56" customFormat="false" ht="13.8" hidden="false" customHeight="false" outlineLevel="0" collapsed="false">
      <c r="A56" s="1" t="s">
        <v>81</v>
      </c>
      <c r="B56" s="1" t="str">
        <f aca="false">IF(  OR(ISNUMBER(SEARCH("SMOTEENN",A56)),ISNUMBER(SEARCH("SMOTETomek",A56))),  "Hybrid",  IF(   AND(    OR(ISNUMBER(SEARCH("SMOTE",A56)),ISNUMBER(SEARCH("SVMSMOTE",A56)),ISNUMBER(SEARCH("RandomOverSampler",A56)),ISNUMBER(SEARCH("BorderlineSmote",A56))),    OR(ISNUMBER(SEARCH("RandomUnderSampler",A56)),ISNUMBER(SEARCH("ClusterCentroids",A56)),ISNUMBER(SEARCH("OneSidedSelection",A56)))   ),   "Over+Under",   IF(    OR(ISNUMBER(SEARCH("SMOTE",A56)),ISNUMBER(SEARCH("SVMSMOTE",A56)),ISNUMBER(SEARCH("RandomOverSampler",A56)),ISNUMBER(SEARCH("BorderlineSmote",A56))),    "Oversampling",    IF(     OR(ISNUMBER(SEARCH("RandomUnderSampler",A56)),ISNUMBER(SEARCH("ClusterCentroids",A56)),ISNUMBER(SEARCH("OneSidedSelection",A56))),     "Undersampler",     "Czysty"    )   )  ) )</f>
        <v>Oversampling</v>
      </c>
      <c r="C56" s="1" t="s">
        <v>74</v>
      </c>
      <c r="D56" s="1" t="n">
        <v>0.5317</v>
      </c>
      <c r="E56" s="1" t="n">
        <v>0.5733</v>
      </c>
      <c r="F56" s="1" t="n">
        <v>0.6063</v>
      </c>
      <c r="G56" s="1" t="n">
        <v>0.5537</v>
      </c>
      <c r="I56" s="1"/>
      <c r="J56" s="1"/>
      <c r="K56" s="1"/>
      <c r="L56" s="1"/>
      <c r="M56" s="1"/>
      <c r="N56" s="1"/>
    </row>
    <row r="57" customFormat="false" ht="13.8" hidden="false" customHeight="false" outlineLevel="0" collapsed="false">
      <c r="A57" s="1" t="s">
        <v>88</v>
      </c>
      <c r="B57" s="1" t="str">
        <f aca="false">IF(  OR(ISNUMBER(SEARCH("SMOTEENN",A57)),ISNUMBER(SEARCH("SMOTETomek",A57))),  "Hybrid",  IF(   AND(    OR(ISNUMBER(SEARCH("SMOTE",A57)),ISNUMBER(SEARCH("SVMSMOTE",A57)),ISNUMBER(SEARCH("RandomOverSampler",A57)),ISNUMBER(SEARCH("BorderlineSmote",A57))),    OR(ISNUMBER(SEARCH("RandomUnderSampler",A57)),ISNUMBER(SEARCH("ClusterCentroids",A57)),ISNUMBER(SEARCH("OneSidedSelection",A57)))   ),   "Over+Under",   IF(    OR(ISNUMBER(SEARCH("SMOTE",A57)),ISNUMBER(SEARCH("SVMSMOTE",A57)),ISNUMBER(SEARCH("RandomOverSampler",A57)),ISNUMBER(SEARCH("BorderlineSmote",A57))),    "Oversampling",    IF(     OR(ISNUMBER(SEARCH("RandomUnderSampler",A57)),ISNUMBER(SEARCH("ClusterCentroids",A57)),ISNUMBER(SEARCH("OneSidedSelection",A57))),     "Undersampler",     "Czysty"    )   )  ) )</f>
        <v>Over+Under</v>
      </c>
      <c r="C57" s="1" t="s">
        <v>74</v>
      </c>
      <c r="D57" s="1" t="n">
        <v>0.5651</v>
      </c>
      <c r="E57" s="1" t="n">
        <v>0.564</v>
      </c>
      <c r="F57" s="1" t="n">
        <v>0.5934</v>
      </c>
      <c r="G57" s="1" t="n">
        <v>0.5749</v>
      </c>
      <c r="I57" s="1"/>
      <c r="J57" s="1"/>
      <c r="K57" s="1"/>
      <c r="L57" s="1"/>
      <c r="M57" s="1"/>
      <c r="N57" s="1"/>
    </row>
    <row r="58" customFormat="false" ht="13.8" hidden="false" customHeight="false" outlineLevel="0" collapsed="false">
      <c r="A58" s="1" t="s">
        <v>84</v>
      </c>
      <c r="B58" s="1" t="str">
        <f aca="false">IF(  OR(ISNUMBER(SEARCH("SMOTEENN",A58)),ISNUMBER(SEARCH("SMOTETomek",A58))),  "Hybrid",  IF(   AND(    OR(ISNUMBER(SEARCH("SMOTE",A58)),ISNUMBER(SEARCH("SVMSMOTE",A58)),ISNUMBER(SEARCH("RandomOverSampler",A58)),ISNUMBER(SEARCH("BorderlineSmote",A58))),    OR(ISNUMBER(SEARCH("RandomUnderSampler",A58)),ISNUMBER(SEARCH("ClusterCentroids",A58)),ISNUMBER(SEARCH("OneSidedSelection",A58)))   ),   "Over+Under",   IF(    OR(ISNUMBER(SEARCH("SMOTE",A58)),ISNUMBER(SEARCH("SVMSMOTE",A58)),ISNUMBER(SEARCH("RandomOverSampler",A58)),ISNUMBER(SEARCH("BorderlineSmote",A58))),    "Oversampling",    IF(     OR(ISNUMBER(SEARCH("RandomUnderSampler",A58)),ISNUMBER(SEARCH("ClusterCentroids",A58)),ISNUMBER(SEARCH("OneSidedSelection",A58))),     "Undersampler",     "Czysty"    )   )  ) )</f>
        <v>Over+Under</v>
      </c>
      <c r="C58" s="1" t="s">
        <v>74</v>
      </c>
      <c r="D58" s="1" t="n">
        <v>0.546</v>
      </c>
      <c r="E58" s="1" t="n">
        <v>0.5444</v>
      </c>
      <c r="F58" s="1" t="n">
        <v>0.5989</v>
      </c>
      <c r="G58" s="1" t="n">
        <v>0.547</v>
      </c>
      <c r="I58" s="1"/>
      <c r="J58" s="1"/>
      <c r="K58" s="1"/>
      <c r="L58" s="1"/>
      <c r="M58" s="1"/>
      <c r="N58" s="1"/>
    </row>
    <row r="59" customFormat="false" ht="13.8" hidden="false" customHeight="false" outlineLevel="0" collapsed="false">
      <c r="A59" s="1" t="s">
        <v>87</v>
      </c>
      <c r="B59" s="1" t="str">
        <f aca="false">IF(  OR(ISNUMBER(SEARCH("SMOTEENN",A59)),ISNUMBER(SEARCH("SMOTETomek",A59))),  "Hybrid",  IF(   AND(    OR(ISNUMBER(SEARCH("SMOTE",A59)),ISNUMBER(SEARCH("SVMSMOTE",A59)),ISNUMBER(SEARCH("RandomOverSampler",A59)),ISNUMBER(SEARCH("BorderlineSmote",A59))),    OR(ISNUMBER(SEARCH("RandomUnderSampler",A59)),ISNUMBER(SEARCH("ClusterCentroids",A59)),ISNUMBER(SEARCH("OneSidedSelection",A59)))   ),   "Over+Under",   IF(    OR(ISNUMBER(SEARCH("SMOTE",A59)),ISNUMBER(SEARCH("SVMSMOTE",A59)),ISNUMBER(SEARCH("RandomOverSampler",A59)),ISNUMBER(SEARCH("BorderlineSmote",A59))),    "Oversampling",    IF(     OR(ISNUMBER(SEARCH("RandomUnderSampler",A59)),ISNUMBER(SEARCH("ClusterCentroids",A59)),ISNUMBER(SEARCH("OneSidedSelection",A59))),     "Undersampler",     "Czysty"    )   )  ) )</f>
        <v>Hybrid</v>
      </c>
      <c r="C59" s="1" t="s">
        <v>74</v>
      </c>
      <c r="D59" s="1" t="n">
        <v>0.4381</v>
      </c>
      <c r="E59" s="1" t="n">
        <v>0.3956</v>
      </c>
      <c r="F59" s="1" t="n">
        <v>0.4463</v>
      </c>
      <c r="G59" s="1" t="n">
        <v>0.5425</v>
      </c>
      <c r="I59" s="1"/>
      <c r="J59" s="1"/>
      <c r="K59" s="1"/>
      <c r="L59" s="1"/>
      <c r="M59" s="1"/>
      <c r="N59" s="1"/>
    </row>
    <row r="60" customFormat="false" ht="13.8" hidden="false" customHeight="false" outlineLevel="0" collapsed="false">
      <c r="A60" s="1" t="s">
        <v>83</v>
      </c>
      <c r="B60" s="1" t="str">
        <f aca="false">IF(  OR(ISNUMBER(SEARCH("SMOTEENN",A60)),ISNUMBER(SEARCH("SMOTETomek",A60))),  "Hybrid",  IF(   AND(    OR(ISNUMBER(SEARCH("SMOTE",A60)),ISNUMBER(SEARCH("SVMSMOTE",A60)),ISNUMBER(SEARCH("RandomOverSampler",A60)),ISNUMBER(SEARCH("BorderlineSmote",A60))),    OR(ISNUMBER(SEARCH("RandomUnderSampler",A60)),ISNUMBER(SEARCH("ClusterCentroids",A60)),ISNUMBER(SEARCH("OneSidedSelection",A60)))   ),   "Over+Under",   IF(    OR(ISNUMBER(SEARCH("SMOTE",A60)),ISNUMBER(SEARCH("SVMSMOTE",A60)),ISNUMBER(SEARCH("RandomOverSampler",A60)),ISNUMBER(SEARCH("BorderlineSmote",A60))),    "Oversampling",    IF(     OR(ISNUMBER(SEARCH("RandomUnderSampler",A60)),ISNUMBER(SEARCH("ClusterCentroids",A60)),ISNUMBER(SEARCH("OneSidedSelection",A60))),     "Undersampler",     "Czysty"    )   )  ) )</f>
        <v>Over+Under</v>
      </c>
      <c r="C60" s="1" t="s">
        <v>74</v>
      </c>
      <c r="D60" s="1" t="n">
        <v>0.4095</v>
      </c>
      <c r="E60" s="1" t="n">
        <v>0.1937</v>
      </c>
      <c r="F60" s="1" t="n">
        <v>0.1365</v>
      </c>
      <c r="G60" s="1" t="n">
        <v>0.3333</v>
      </c>
      <c r="I60" s="1"/>
      <c r="J60" s="1"/>
      <c r="K60" s="1"/>
      <c r="L60" s="1"/>
      <c r="M60" s="1"/>
      <c r="N60" s="1"/>
    </row>
    <row r="61" customFormat="false" ht="13.8" hidden="false" customHeight="false" outlineLevel="0" collapsed="false">
      <c r="A61" s="1" t="s">
        <v>85</v>
      </c>
      <c r="B61" s="1" t="str">
        <f aca="false">IF(  OR(ISNUMBER(SEARCH("SMOTEENN",A61)),ISNUMBER(SEARCH("SMOTETomek",A61))),  "Hybrid",  IF(   AND(    OR(ISNUMBER(SEARCH("SMOTE",A61)),ISNUMBER(SEARCH("SVMSMOTE",A61)),ISNUMBER(SEARCH("RandomOverSampler",A61)),ISNUMBER(SEARCH("BorderlineSmote",A61))),    OR(ISNUMBER(SEARCH("RandomUnderSampler",A61)),ISNUMBER(SEARCH("ClusterCentroids",A61)),ISNUMBER(SEARCH("OneSidedSelection",A61)))   ),   "Over+Under",   IF(    OR(ISNUMBER(SEARCH("SMOTE",A61)),ISNUMBER(SEARCH("SVMSMOTE",A61)),ISNUMBER(SEARCH("RandomOverSampler",A61)),ISNUMBER(SEARCH("BorderlineSmote",A61))),    "Oversampling",    IF(     OR(ISNUMBER(SEARCH("RandomUnderSampler",A61)),ISNUMBER(SEARCH("ClusterCentroids",A61)),ISNUMBER(SEARCH("OneSidedSelection",A61))),     "Undersampler",     "Czysty"    )   )  ) )</f>
        <v>Over+Under</v>
      </c>
      <c r="C61" s="1" t="s">
        <v>74</v>
      </c>
      <c r="D61" s="1" t="n">
        <v>0.4095</v>
      </c>
      <c r="E61" s="1" t="n">
        <v>0.1937</v>
      </c>
      <c r="F61" s="1" t="n">
        <v>0.1365</v>
      </c>
      <c r="G61" s="1" t="n">
        <v>0.3333</v>
      </c>
      <c r="I61" s="1"/>
      <c r="J61" s="1"/>
      <c r="K61" s="1"/>
      <c r="L61" s="1"/>
      <c r="M61" s="1"/>
      <c r="N61" s="1"/>
    </row>
    <row r="62" customFormat="false" ht="13.8" hidden="false" customHeight="false" outlineLevel="0" collapsed="false">
      <c r="A62" s="1" t="s">
        <v>82</v>
      </c>
      <c r="B62" s="1" t="str">
        <f aca="false">IF(  OR(ISNUMBER(SEARCH("SMOTEENN",A62)),ISNUMBER(SEARCH("SMOTETomek",A62))),  "Hybrid",  IF(   AND(    OR(ISNUMBER(SEARCH("SMOTE",A62)),ISNUMBER(SEARCH("SVMSMOTE",A62)),ISNUMBER(SEARCH("RandomOverSampler",A62)),ISNUMBER(SEARCH("BorderlineSmote",A62))),    OR(ISNUMBER(SEARCH("RandomUnderSampler",A62)),ISNUMBER(SEARCH("ClusterCentroids",A62)),ISNUMBER(SEARCH("OneSidedSelection",A62)))   ),   "Over+Under",   IF(    OR(ISNUMBER(SEARCH("SMOTE",A62)),ISNUMBER(SEARCH("SVMSMOTE",A62)),ISNUMBER(SEARCH("RandomOverSampler",A62)),ISNUMBER(SEARCH("BorderlineSmote",A62))),    "Oversampling",    IF(     OR(ISNUMBER(SEARCH("RandomUnderSampler",A62)),ISNUMBER(SEARCH("ClusterCentroids",A62)),ISNUMBER(SEARCH("OneSidedSelection",A62))),     "Undersampler",     "Czysty"    )   )  ) )</f>
        <v>Over+Under</v>
      </c>
      <c r="C62" s="1" t="s">
        <v>74</v>
      </c>
      <c r="D62" s="1" t="n">
        <v>0.4095</v>
      </c>
      <c r="E62" s="1" t="n">
        <v>0.1937</v>
      </c>
      <c r="F62" s="1" t="n">
        <v>0.1365</v>
      </c>
      <c r="G62" s="1" t="n">
        <v>0.3333</v>
      </c>
      <c r="I62" s="1"/>
      <c r="J62" s="1"/>
      <c r="K62" s="1"/>
      <c r="L62" s="1"/>
      <c r="M62" s="1"/>
      <c r="N62" s="1"/>
    </row>
    <row r="63" customFormat="false" ht="13.8" hidden="false" customHeight="false" outlineLevel="0" collapsed="false">
      <c r="A63" s="1" t="s">
        <v>86</v>
      </c>
      <c r="B63" s="1" t="str">
        <f aca="false">IF(  OR(ISNUMBER(SEARCH("SMOTEENN",A63)),ISNUMBER(SEARCH("SMOTETomek",A63))),  "Hybrid",  IF(   AND(    OR(ISNUMBER(SEARCH("SMOTE",A63)),ISNUMBER(SEARCH("SVMSMOTE",A63)),ISNUMBER(SEARCH("RandomOverSampler",A63)),ISNUMBER(SEARCH("BorderlineSmote",A63))),    OR(ISNUMBER(SEARCH("RandomUnderSampler",A63)),ISNUMBER(SEARCH("ClusterCentroids",A63)),ISNUMBER(SEARCH("OneSidedSelection",A63)))   ),   "Over+Under",   IF(    OR(ISNUMBER(SEARCH("SMOTE",A63)),ISNUMBER(SEARCH("SVMSMOTE",A63)),ISNUMBER(SEARCH("RandomOverSampler",A63)),ISNUMBER(SEARCH("BorderlineSmote",A63))),    "Oversampling",    IF(     OR(ISNUMBER(SEARCH("RandomUnderSampler",A63)),ISNUMBER(SEARCH("ClusterCentroids",A63)),ISNUMBER(SEARCH("OneSidedSelection",A63))),     "Undersampler",     "Czysty"    )   )  ) )</f>
        <v>Over+Under</v>
      </c>
      <c r="C63" s="1" t="s">
        <v>74</v>
      </c>
      <c r="D63" s="1" t="n">
        <v>0.4095</v>
      </c>
      <c r="E63" s="1" t="n">
        <v>0.1937</v>
      </c>
      <c r="F63" s="1" t="n">
        <v>0.1365</v>
      </c>
      <c r="G63" s="1" t="n">
        <v>0.3333</v>
      </c>
      <c r="I63" s="1"/>
      <c r="J63" s="1"/>
      <c r="K63" s="1"/>
      <c r="L63" s="1"/>
      <c r="M63" s="1"/>
      <c r="N63" s="1"/>
    </row>
    <row r="64" customFormat="false" ht="13.8" hidden="false" customHeight="false" outlineLevel="0" collapsed="false">
      <c r="A64" s="1" t="s">
        <v>124</v>
      </c>
      <c r="B64" s="1" t="str">
        <f aca="false">IF(  OR(ISNUMBER(SEARCH("SMOTEENN",A64)),ISNUMBER(SEARCH("SMOTETomek",A64))),  "Hybrid",  IF(   AND(    OR(ISNUMBER(SEARCH("SMOTE",A64)),ISNUMBER(SEARCH("SVMSMOTE",A64)),ISNUMBER(SEARCH("RandomOverSampler",A64)),ISNUMBER(SEARCH("BorderlineSmote",A64))),    OR(ISNUMBER(SEARCH("RandomUnderSampler",A64)),ISNUMBER(SEARCH("ClusterCentroids",A64)),ISNUMBER(SEARCH("OneSidedSelection",A64)))   ),   "Over+Under",   IF(    OR(ISNUMBER(SEARCH("SMOTE",A64)),ISNUMBER(SEARCH("SVMSMOTE",A64)),ISNUMBER(SEARCH("RandomOverSampler",A64)),ISNUMBER(SEARCH("BorderlineSmote",A64))),    "Oversampling",    IF(     OR(ISNUMBER(SEARCH("RandomUnderSampler",A64)),ISNUMBER(SEARCH("ClusterCentroids",A64)),ISNUMBER(SEARCH("OneSidedSelection",A64))),     "Undersampler",     "Czysty"    )   )  ) )</f>
        <v>Over+Under</v>
      </c>
      <c r="C64" s="1" t="s">
        <v>74</v>
      </c>
      <c r="D64" s="1" t="n">
        <v>0.4095</v>
      </c>
      <c r="E64" s="1" t="n">
        <v>0.1937</v>
      </c>
      <c r="F64" s="1" t="n">
        <v>0.1365</v>
      </c>
      <c r="G64" s="1" t="n">
        <v>0.3333</v>
      </c>
      <c r="I64" s="1"/>
      <c r="J64" s="1"/>
      <c r="K64" s="1"/>
      <c r="L64" s="1"/>
      <c r="M64" s="1"/>
      <c r="N64" s="1"/>
    </row>
    <row r="65" customFormat="false" ht="13.8" hidden="false" customHeight="false" outlineLevel="0" collapsed="false">
      <c r="A65" s="1" t="s">
        <v>125</v>
      </c>
      <c r="B65" s="1" t="str">
        <f aca="false">IF(  OR(ISNUMBER(SEARCH("SMOTEENN",A65)),ISNUMBER(SEARCH("SMOTETomek",A65))),  "Hybrid",  IF(   AND(    OR(ISNUMBER(SEARCH("SMOTE",A65)),ISNUMBER(SEARCH("SVMSMOTE",A65)),ISNUMBER(SEARCH("RandomOverSampler",A65)),ISNUMBER(SEARCH("BorderlineSmote",A65))),    OR(ISNUMBER(SEARCH("RandomUnderSampler",A65)),ISNUMBER(SEARCH("ClusterCentroids",A65)),ISNUMBER(SEARCH("OneSidedSelection",A65)))   ),   "Over+Under",   IF(    OR(ISNUMBER(SEARCH("SMOTE",A65)),ISNUMBER(SEARCH("SVMSMOTE",A65)),ISNUMBER(SEARCH("RandomOverSampler",A65)),ISNUMBER(SEARCH("BorderlineSmote",A65))),    "Oversampling",    IF(     OR(ISNUMBER(SEARCH("RandomUnderSampler",A65)),ISNUMBER(SEARCH("ClusterCentroids",A65)),ISNUMBER(SEARCH("OneSidedSelection",A65))),     "Undersampler",     "Czysty"    )   )  ) )</f>
        <v>Over+Under</v>
      </c>
      <c r="C65" s="1" t="s">
        <v>74</v>
      </c>
      <c r="D65" s="1" t="n">
        <v>0.4095</v>
      </c>
      <c r="E65" s="1" t="n">
        <v>0.1937</v>
      </c>
      <c r="F65" s="1" t="n">
        <v>0.1365</v>
      </c>
      <c r="G65" s="1" t="n">
        <v>0.3333</v>
      </c>
      <c r="I65" s="1"/>
      <c r="J65" s="1"/>
      <c r="K65" s="1"/>
      <c r="L65" s="1"/>
      <c r="M65" s="1"/>
      <c r="N65" s="1"/>
    </row>
    <row r="67" customFormat="false" ht="13.8" hidden="false" customHeight="false" outlineLevel="0" collapsed="false">
      <c r="A67" s="2" t="s">
        <v>23</v>
      </c>
      <c r="B67" s="2"/>
      <c r="C67" s="2"/>
      <c r="D67" s="2"/>
      <c r="E67" s="2"/>
      <c r="F67" s="2"/>
      <c r="G67" s="2"/>
    </row>
    <row r="68" customFormat="false" ht="13.8" hidden="false" customHeight="false" outlineLevel="0" collapsed="false">
      <c r="A68" s="4" t="s">
        <v>2</v>
      </c>
      <c r="B68" s="4" t="s">
        <v>4</v>
      </c>
      <c r="C68" s="4" t="s">
        <v>5</v>
      </c>
      <c r="D68" s="4" t="s">
        <v>6</v>
      </c>
      <c r="E68" s="4" t="s">
        <v>127</v>
      </c>
      <c r="F68" s="4" t="s">
        <v>9</v>
      </c>
      <c r="G68" s="4" t="s">
        <v>10</v>
      </c>
    </row>
    <row r="69" customFormat="false" ht="13.8" hidden="false" customHeight="false" outlineLevel="0" collapsed="false">
      <c r="A69" s="1" t="s">
        <v>79</v>
      </c>
      <c r="B69" s="1" t="str">
        <f aca="false">IF(  OR(ISNUMBER(SEARCH("SMOTEENN",A69)),ISNUMBER(SEARCH("SMOTETomek",A69))),  "Hybrid",  IF(   AND(    OR(ISNUMBER(SEARCH("SMOTE",A69)),ISNUMBER(SEARCH("SVMSMOTE",A69)),ISNUMBER(SEARCH("RandomOverSampler",A69)),ISNUMBER(SEARCH("BorderlineSmote",A69))),    OR(ISNUMBER(SEARCH("RandomUnderSampler",A69)),ISNUMBER(SEARCH("ClusterCentroids",A69)),ISNUMBER(SEARCH("OneSidedSelection",A69)))   ),   "Over+Under",   IF(    OR(ISNUMBER(SEARCH("SMOTE",A69)),ISNUMBER(SEARCH("SVMSMOTE",A69)),ISNUMBER(SEARCH("RandomOverSampler",A69)),ISNUMBER(SEARCH("BorderlineSmote",A69))),    "Oversampling",    IF(     OR(ISNUMBER(SEARCH("RandomUnderSampler",A69)),ISNUMBER(SEARCH("ClusterCentroids",A69)),ISNUMBER(SEARCH("OneSidedSelection",A69))),     "Undersampler",     "Czysty"    )   )  ) )</f>
        <v>Oversampling</v>
      </c>
      <c r="C69" s="1" t="s">
        <v>14</v>
      </c>
      <c r="D69" s="1" t="n">
        <v>0.6127</v>
      </c>
      <c r="E69" s="1" t="n">
        <v>0.6496</v>
      </c>
      <c r="F69" s="1" t="n">
        <v>0.6664</v>
      </c>
      <c r="G69" s="1" t="n">
        <v>0.6431</v>
      </c>
      <c r="I69" s="1"/>
      <c r="J69" s="1"/>
      <c r="K69" s="1"/>
      <c r="L69" s="1"/>
      <c r="M69" s="1"/>
      <c r="N69" s="1"/>
    </row>
    <row r="70" customFormat="false" ht="13.8" hidden="false" customHeight="false" outlineLevel="0" collapsed="false">
      <c r="A70" s="1" t="s">
        <v>88</v>
      </c>
      <c r="B70" s="1" t="str">
        <f aca="false">IF(  OR(ISNUMBER(SEARCH("SMOTEENN",A70)),ISNUMBER(SEARCH("SMOTETomek",A70))),  "Hybrid",  IF(   AND(    OR(ISNUMBER(SEARCH("SMOTE",A70)),ISNUMBER(SEARCH("SVMSMOTE",A70)),ISNUMBER(SEARCH("RandomOverSampler",A70)),ISNUMBER(SEARCH("BorderlineSmote",A70))),    OR(ISNUMBER(SEARCH("RandomUnderSampler",A70)),ISNUMBER(SEARCH("ClusterCentroids",A70)),ISNUMBER(SEARCH("OneSidedSelection",A70)))   ),   "Over+Under",   IF(    OR(ISNUMBER(SEARCH("SMOTE",A70)),ISNUMBER(SEARCH("SVMSMOTE",A70)),ISNUMBER(SEARCH("RandomOverSampler",A70)),ISNUMBER(SEARCH("BorderlineSmote",A70))),    "Oversampling",    IF(     OR(ISNUMBER(SEARCH("RandomUnderSampler",A70)),ISNUMBER(SEARCH("ClusterCentroids",A70)),ISNUMBER(SEARCH("OneSidedSelection",A70))),     "Undersampler",     "Czysty"    )   )  ) )</f>
        <v>Over+Under</v>
      </c>
      <c r="C70" s="1" t="s">
        <v>14</v>
      </c>
      <c r="D70" s="1" t="n">
        <v>0.573</v>
      </c>
      <c r="E70" s="1" t="n">
        <v>0.6102</v>
      </c>
      <c r="F70" s="1" t="n">
        <v>0.6321</v>
      </c>
      <c r="G70" s="1" t="n">
        <v>0.6211</v>
      </c>
      <c r="I70" s="1"/>
      <c r="J70" s="1"/>
      <c r="K70" s="1"/>
      <c r="L70" s="1"/>
      <c r="M70" s="1"/>
      <c r="N70" s="1"/>
    </row>
    <row r="71" customFormat="false" ht="13.8" hidden="false" customHeight="false" outlineLevel="0" collapsed="false">
      <c r="A71" s="1" t="s">
        <v>126</v>
      </c>
      <c r="B71" s="1" t="str">
        <f aca="false">IF(  OR(ISNUMBER(SEARCH("SMOTEENN",A71)),ISNUMBER(SEARCH("SMOTETomek",A71))),  "Hybrid",  IF(   AND(    OR(ISNUMBER(SEARCH("SMOTE",A71)),ISNUMBER(SEARCH("SVMSMOTE",A71)),ISNUMBER(SEARCH("RandomOverSampler",A71)),ISNUMBER(SEARCH("BorderlineSmote",A71))),    OR(ISNUMBER(SEARCH("RandomUnderSampler",A71)),ISNUMBER(SEARCH("ClusterCentroids",A71)),ISNUMBER(SEARCH("OneSidedSelection",A71)))   ),   "Over+Under",   IF(    OR(ISNUMBER(SEARCH("SMOTE",A71)),ISNUMBER(SEARCH("SVMSMOTE",A71)),ISNUMBER(SEARCH("RandomOverSampler",A71)),ISNUMBER(SEARCH("BorderlineSmote",A71))),    "Oversampling",    IF(     OR(ISNUMBER(SEARCH("RandomUnderSampler",A71)),ISNUMBER(SEARCH("ClusterCentroids",A71)),ISNUMBER(SEARCH("OneSidedSelection",A71))),     "Undersampler",     "Czysty"    )   )  ) )</f>
        <v>Oversampling</v>
      </c>
      <c r="C71" s="1" t="s">
        <v>14</v>
      </c>
      <c r="D71" s="1" t="n">
        <v>0.5746</v>
      </c>
      <c r="E71" s="1" t="n">
        <v>0.5987</v>
      </c>
      <c r="F71" s="1" t="n">
        <v>0.6067</v>
      </c>
      <c r="G71" s="1" t="n">
        <v>0.598</v>
      </c>
      <c r="I71" s="1"/>
      <c r="J71" s="1"/>
      <c r="K71" s="1"/>
      <c r="L71" s="1"/>
      <c r="M71" s="1"/>
      <c r="N71" s="1"/>
    </row>
    <row r="72" customFormat="false" ht="13.8" hidden="false" customHeight="false" outlineLevel="0" collapsed="false">
      <c r="A72" s="1" t="s">
        <v>80</v>
      </c>
      <c r="B72" s="1" t="str">
        <f aca="false">IF(  OR(ISNUMBER(SEARCH("SMOTEENN",A72)),ISNUMBER(SEARCH("SMOTETomek",A72))),  "Hybrid",  IF(   AND(    OR(ISNUMBER(SEARCH("SMOTE",A72)),ISNUMBER(SEARCH("SVMSMOTE",A72)),ISNUMBER(SEARCH("RandomOverSampler",A72)),ISNUMBER(SEARCH("BorderlineSmote",A72))),    OR(ISNUMBER(SEARCH("RandomUnderSampler",A72)),ISNUMBER(SEARCH("ClusterCentroids",A72)),ISNUMBER(SEARCH("OneSidedSelection",A72)))   ),   "Over+Under",   IF(    OR(ISNUMBER(SEARCH("SMOTE",A72)),ISNUMBER(SEARCH("SVMSMOTE",A72)),ISNUMBER(SEARCH("RandomOverSampler",A72)),ISNUMBER(SEARCH("BorderlineSmote",A72))),    "Oversampling",    IF(     OR(ISNUMBER(SEARCH("RandomUnderSampler",A72)),ISNUMBER(SEARCH("ClusterCentroids",A72)),ISNUMBER(SEARCH("OneSidedSelection",A72))),     "Undersampler",     "Czysty"    )   )  ) )</f>
        <v>Hybrid</v>
      </c>
      <c r="C72" s="1" t="s">
        <v>14</v>
      </c>
      <c r="D72" s="1" t="n">
        <v>0.5317</v>
      </c>
      <c r="E72" s="1" t="n">
        <v>0.5945</v>
      </c>
      <c r="F72" s="1" t="n">
        <v>0.6079</v>
      </c>
      <c r="G72" s="1" t="n">
        <v>0.5983</v>
      </c>
      <c r="I72" s="1"/>
      <c r="J72" s="1"/>
      <c r="K72" s="1"/>
      <c r="L72" s="1"/>
      <c r="M72" s="1"/>
      <c r="N72" s="1"/>
    </row>
    <row r="73" customFormat="false" ht="13.8" hidden="false" customHeight="false" outlineLevel="0" collapsed="false">
      <c r="A73" s="1" t="s">
        <v>123</v>
      </c>
      <c r="B73" s="1" t="str">
        <f aca="false">IF(  OR(ISNUMBER(SEARCH("SMOTEENN",A73)),ISNUMBER(SEARCH("SMOTETomek",A73))),  "Hybrid",  IF(   AND(    OR(ISNUMBER(SEARCH("SMOTE",A73)),ISNUMBER(SEARCH("SVMSMOTE",A73)),ISNUMBER(SEARCH("RandomOverSampler",A73)),ISNUMBER(SEARCH("BorderlineSmote",A73))),    OR(ISNUMBER(SEARCH("RandomUnderSampler",A73)),ISNUMBER(SEARCH("ClusterCentroids",A73)),ISNUMBER(SEARCH("OneSidedSelection",A73)))   ),   "Over+Under",   IF(    OR(ISNUMBER(SEARCH("SMOTE",A73)),ISNUMBER(SEARCH("SVMSMOTE",A73)),ISNUMBER(SEARCH("RandomOverSampler",A73)),ISNUMBER(SEARCH("BorderlineSmote",A73))),    "Oversampling",    IF(     OR(ISNUMBER(SEARCH("RandomUnderSampler",A73)),ISNUMBER(SEARCH("ClusterCentroids",A73)),ISNUMBER(SEARCH("OneSidedSelection",A73))),     "Undersampler",     "Czysty"    )   )  ) )</f>
        <v>Oversampling</v>
      </c>
      <c r="C73" s="1" t="s">
        <v>14</v>
      </c>
      <c r="D73" s="1" t="n">
        <v>0.5159</v>
      </c>
      <c r="E73" s="1" t="n">
        <v>0.5681</v>
      </c>
      <c r="F73" s="1" t="n">
        <v>0.5944</v>
      </c>
      <c r="G73" s="1" t="n">
        <v>0.5643</v>
      </c>
      <c r="I73" s="1"/>
      <c r="J73" s="1"/>
      <c r="K73" s="1"/>
      <c r="L73" s="1"/>
      <c r="M73" s="1"/>
      <c r="N73" s="1"/>
    </row>
    <row r="74" customFormat="false" ht="13.8" hidden="false" customHeight="false" outlineLevel="0" collapsed="false">
      <c r="A74" s="1" t="s">
        <v>81</v>
      </c>
      <c r="B74" s="1" t="str">
        <f aca="false">IF(  OR(ISNUMBER(SEARCH("SMOTEENN",A74)),ISNUMBER(SEARCH("SMOTETomek",A74))),  "Hybrid",  IF(   AND(    OR(ISNUMBER(SEARCH("SMOTE",A74)),ISNUMBER(SEARCH("SVMSMOTE",A74)),ISNUMBER(SEARCH("RandomOverSampler",A74)),ISNUMBER(SEARCH("BorderlineSmote",A74))),    OR(ISNUMBER(SEARCH("RandomUnderSampler",A74)),ISNUMBER(SEARCH("ClusterCentroids",A74)),ISNUMBER(SEARCH("OneSidedSelection",A74)))   ),   "Over+Under",   IF(    OR(ISNUMBER(SEARCH("SMOTE",A74)),ISNUMBER(SEARCH("SVMSMOTE",A74)),ISNUMBER(SEARCH("RandomOverSampler",A74)),ISNUMBER(SEARCH("BorderlineSmote",A74))),    "Oversampling",    IF(     OR(ISNUMBER(SEARCH("RandomUnderSampler",A74)),ISNUMBER(SEARCH("ClusterCentroids",A74)),ISNUMBER(SEARCH("OneSidedSelection",A74))),     "Undersampler",     "Czysty"    )   )  ) )</f>
        <v>Oversampling</v>
      </c>
      <c r="C74" s="1" t="s">
        <v>14</v>
      </c>
      <c r="D74" s="1" t="n">
        <v>0.5254</v>
      </c>
      <c r="E74" s="1" t="n">
        <v>0.565</v>
      </c>
      <c r="F74" s="1" t="n">
        <v>0.5889</v>
      </c>
      <c r="G74" s="1" t="n">
        <v>0.5568</v>
      </c>
      <c r="I74" s="1"/>
      <c r="J74" s="1"/>
      <c r="K74" s="1"/>
      <c r="L74" s="1"/>
      <c r="M74" s="1"/>
      <c r="N74" s="1"/>
    </row>
    <row r="75" customFormat="false" ht="13.8" hidden="false" customHeight="false" outlineLevel="0" collapsed="false">
      <c r="A75" s="1" t="s">
        <v>84</v>
      </c>
      <c r="B75" s="1" t="str">
        <f aca="false">IF(  OR(ISNUMBER(SEARCH("SMOTEENN",A75)),ISNUMBER(SEARCH("SMOTETomek",A75))),  "Hybrid",  IF(   AND(    OR(ISNUMBER(SEARCH("SMOTE",A75)),ISNUMBER(SEARCH("SVMSMOTE",A75)),ISNUMBER(SEARCH("RandomOverSampler",A75)),ISNUMBER(SEARCH("BorderlineSmote",A75))),    OR(ISNUMBER(SEARCH("RandomUnderSampler",A75)),ISNUMBER(SEARCH("ClusterCentroids",A75)),ISNUMBER(SEARCH("OneSidedSelection",A75)))   ),   "Over+Under",   IF(    OR(ISNUMBER(SEARCH("SMOTE",A75)),ISNUMBER(SEARCH("SVMSMOTE",A75)),ISNUMBER(SEARCH("RandomOverSampler",A75)),ISNUMBER(SEARCH("BorderlineSmote",A75))),    "Oversampling",    IF(     OR(ISNUMBER(SEARCH("RandomUnderSampler",A75)),ISNUMBER(SEARCH("ClusterCentroids",A75)),ISNUMBER(SEARCH("OneSidedSelection",A75))),     "Undersampler",     "Czysty"    )   )  ) )</f>
        <v>Over+Under</v>
      </c>
      <c r="C75" s="1" t="s">
        <v>14</v>
      </c>
      <c r="D75" s="1" t="n">
        <v>0.5333</v>
      </c>
      <c r="E75" s="1" t="n">
        <v>0.555</v>
      </c>
      <c r="F75" s="1" t="n">
        <v>0.5799</v>
      </c>
      <c r="G75" s="1" t="n">
        <v>0.5783</v>
      </c>
      <c r="I75" s="1"/>
      <c r="J75" s="1"/>
      <c r="K75" s="1"/>
      <c r="L75" s="1"/>
      <c r="M75" s="1"/>
      <c r="N75" s="1"/>
    </row>
    <row r="76" customFormat="false" ht="13.8" hidden="false" customHeight="false" outlineLevel="0" collapsed="false">
      <c r="A76" s="1" t="s">
        <v>23</v>
      </c>
      <c r="B76" s="1" t="str">
        <f aca="false">IF(  OR(ISNUMBER(SEARCH("SMOTEENN",A76)),ISNUMBER(SEARCH("SMOTETomek",A76))),  "Hybrid",  IF(   AND(    OR(ISNUMBER(SEARCH("SMOTE",A76)),ISNUMBER(SEARCH("SVMSMOTE",A76)),ISNUMBER(SEARCH("RandomOverSampler",A76)),ISNUMBER(SEARCH("BorderlineSmote",A76))),    OR(ISNUMBER(SEARCH("RandomUnderSampler",A76)),ISNUMBER(SEARCH("ClusterCentroids",A76)),ISNUMBER(SEARCH("OneSidedSelection",A76)))   ),   "Over+Under",   IF(    OR(ISNUMBER(SEARCH("SMOTE",A76)),ISNUMBER(SEARCH("SVMSMOTE",A76)),ISNUMBER(SEARCH("RandomOverSampler",A76)),ISNUMBER(SEARCH("BorderlineSmote",A76))),    "Oversampling",    IF(     OR(ISNUMBER(SEARCH("RandomUnderSampler",A76)),ISNUMBER(SEARCH("ClusterCentroids",A76)),ISNUMBER(SEARCH("OneSidedSelection",A76))),     "Undersampler",     "Czysty"    )   )  ) )</f>
        <v>Czysty</v>
      </c>
      <c r="C76" s="1" t="s">
        <v>14</v>
      </c>
      <c r="D76" s="1" t="n">
        <v>0.5397</v>
      </c>
      <c r="E76" s="1" t="n">
        <v>0.5401</v>
      </c>
      <c r="F76" s="1" t="n">
        <v>0.5472</v>
      </c>
      <c r="G76" s="1" t="n">
        <v>0.5429</v>
      </c>
      <c r="I76" s="1"/>
      <c r="J76" s="1"/>
      <c r="K76" s="1"/>
      <c r="L76" s="1"/>
      <c r="M76" s="1"/>
      <c r="N76" s="1"/>
    </row>
    <row r="77" customFormat="false" ht="13.8" hidden="false" customHeight="false" outlineLevel="0" collapsed="false">
      <c r="A77" s="1" t="s">
        <v>83</v>
      </c>
      <c r="B77" s="1" t="str">
        <f aca="false">IF(  OR(ISNUMBER(SEARCH("SMOTEENN",A77)),ISNUMBER(SEARCH("SMOTETomek",A77))),  "Hybrid",  IF(   AND(    OR(ISNUMBER(SEARCH("SMOTE",A77)),ISNUMBER(SEARCH("SVMSMOTE",A77)),ISNUMBER(SEARCH("RandomOverSampler",A77)),ISNUMBER(SEARCH("BorderlineSmote",A77))),    OR(ISNUMBER(SEARCH("RandomUnderSampler",A77)),ISNUMBER(SEARCH("ClusterCentroids",A77)),ISNUMBER(SEARCH("OneSidedSelection",A77)))   ),   "Over+Under",   IF(    OR(ISNUMBER(SEARCH("SMOTE",A77)),ISNUMBER(SEARCH("SVMSMOTE",A77)),ISNUMBER(SEARCH("RandomOverSampler",A77)),ISNUMBER(SEARCH("BorderlineSmote",A77))),    "Oversampling",    IF(     OR(ISNUMBER(SEARCH("RandomUnderSampler",A77)),ISNUMBER(SEARCH("ClusterCentroids",A77)),ISNUMBER(SEARCH("OneSidedSelection",A77))),     "Undersampler",     "Czysty"    )   )  ) )</f>
        <v>Over+Under</v>
      </c>
      <c r="C77" s="1" t="s">
        <v>14</v>
      </c>
      <c r="D77" s="1" t="n">
        <v>0.4698</v>
      </c>
      <c r="E77" s="1" t="n">
        <v>0.4425</v>
      </c>
      <c r="F77" s="1" t="n">
        <v>0.4695</v>
      </c>
      <c r="G77" s="1" t="n">
        <v>0.5399</v>
      </c>
      <c r="I77" s="1"/>
      <c r="J77" s="1"/>
      <c r="K77" s="1"/>
      <c r="L77" s="1"/>
      <c r="M77" s="1"/>
      <c r="N77" s="1"/>
    </row>
    <row r="78" customFormat="false" ht="13.8" hidden="false" customHeight="false" outlineLevel="0" collapsed="false">
      <c r="A78" s="1" t="s">
        <v>82</v>
      </c>
      <c r="B78" s="1" t="str">
        <f aca="false">IF(  OR(ISNUMBER(SEARCH("SMOTEENN",A78)),ISNUMBER(SEARCH("SMOTETomek",A78))),  "Hybrid",  IF(   AND(    OR(ISNUMBER(SEARCH("SMOTE",A78)),ISNUMBER(SEARCH("SVMSMOTE",A78)),ISNUMBER(SEARCH("RandomOverSampler",A78)),ISNUMBER(SEARCH("BorderlineSmote",A78))),    OR(ISNUMBER(SEARCH("RandomUnderSampler",A78)),ISNUMBER(SEARCH("ClusterCentroids",A78)),ISNUMBER(SEARCH("OneSidedSelection",A78)))   ),   "Over+Under",   IF(    OR(ISNUMBER(SEARCH("SMOTE",A78)),ISNUMBER(SEARCH("SVMSMOTE",A78)),ISNUMBER(SEARCH("RandomOverSampler",A78)),ISNUMBER(SEARCH("BorderlineSmote",A78))),    "Oversampling",    IF(     OR(ISNUMBER(SEARCH("RandomUnderSampler",A78)),ISNUMBER(SEARCH("ClusterCentroids",A78)),ISNUMBER(SEARCH("OneSidedSelection",A78))),     "Undersampler",     "Czysty"    )   )  ) )</f>
        <v>Over+Under</v>
      </c>
      <c r="C78" s="1" t="s">
        <v>14</v>
      </c>
      <c r="D78" s="1" t="n">
        <v>0.4619</v>
      </c>
      <c r="E78" s="1" t="n">
        <v>0.4329</v>
      </c>
      <c r="F78" s="1" t="n">
        <v>0.4391</v>
      </c>
      <c r="G78" s="1" t="n">
        <v>0.509</v>
      </c>
      <c r="I78" s="1"/>
      <c r="J78" s="1"/>
      <c r="K78" s="1"/>
      <c r="L78" s="1"/>
      <c r="M78" s="1"/>
      <c r="N78" s="1"/>
    </row>
    <row r="79" customFormat="false" ht="13.8" hidden="false" customHeight="false" outlineLevel="0" collapsed="false">
      <c r="A79" s="1" t="s">
        <v>85</v>
      </c>
      <c r="B79" s="1" t="str">
        <f aca="false">IF(  OR(ISNUMBER(SEARCH("SMOTEENN",A79)),ISNUMBER(SEARCH("SMOTETomek",A79))),  "Hybrid",  IF(   AND(    OR(ISNUMBER(SEARCH("SMOTE",A79)),ISNUMBER(SEARCH("SVMSMOTE",A79)),ISNUMBER(SEARCH("RandomOverSampler",A79)),ISNUMBER(SEARCH("BorderlineSmote",A79))),    OR(ISNUMBER(SEARCH("RandomUnderSampler",A79)),ISNUMBER(SEARCH("ClusterCentroids",A79)),ISNUMBER(SEARCH("OneSidedSelection",A79)))   ),   "Over+Under",   IF(    OR(ISNUMBER(SEARCH("SMOTE",A79)),ISNUMBER(SEARCH("SVMSMOTE",A79)),ISNUMBER(SEARCH("RandomOverSampler",A79)),ISNUMBER(SEARCH("BorderlineSmote",A79))),    "Oversampling",    IF(     OR(ISNUMBER(SEARCH("RandomUnderSampler",A79)),ISNUMBER(SEARCH("ClusterCentroids",A79)),ISNUMBER(SEARCH("OneSidedSelection",A79))),     "Undersampler",     "Czysty"    )   )  ) )</f>
        <v>Over+Under</v>
      </c>
      <c r="C79" s="1" t="s">
        <v>14</v>
      </c>
      <c r="D79" s="1" t="n">
        <v>0.4556</v>
      </c>
      <c r="E79" s="1" t="n">
        <v>0.4298</v>
      </c>
      <c r="F79" s="1" t="n">
        <v>0.4375</v>
      </c>
      <c r="G79" s="1" t="n">
        <v>0.5217</v>
      </c>
      <c r="I79" s="1"/>
      <c r="J79" s="1"/>
      <c r="K79" s="1"/>
      <c r="L79" s="1"/>
      <c r="M79" s="1"/>
      <c r="N79" s="1"/>
    </row>
    <row r="80" customFormat="false" ht="13.8" hidden="false" customHeight="false" outlineLevel="0" collapsed="false">
      <c r="A80" s="1" t="s">
        <v>125</v>
      </c>
      <c r="B80" s="1" t="str">
        <f aca="false">IF(  OR(ISNUMBER(SEARCH("SMOTEENN",A80)),ISNUMBER(SEARCH("SMOTETomek",A80))),  "Hybrid",  IF(   AND(    OR(ISNUMBER(SEARCH("SMOTE",A80)),ISNUMBER(SEARCH("SVMSMOTE",A80)),ISNUMBER(SEARCH("RandomOverSampler",A80)),ISNUMBER(SEARCH("BorderlineSmote",A80))),    OR(ISNUMBER(SEARCH("RandomUnderSampler",A80)),ISNUMBER(SEARCH("ClusterCentroids",A80)),ISNUMBER(SEARCH("OneSidedSelection",A80)))   ),   "Over+Under",   IF(    OR(ISNUMBER(SEARCH("SMOTE",A80)),ISNUMBER(SEARCH("SVMSMOTE",A80)),ISNUMBER(SEARCH("RandomOverSampler",A80)),ISNUMBER(SEARCH("BorderlineSmote",A80))),    "Oversampling",    IF(     OR(ISNUMBER(SEARCH("RandomUnderSampler",A80)),ISNUMBER(SEARCH("ClusterCentroids",A80)),ISNUMBER(SEARCH("OneSidedSelection",A80))),     "Undersampler",     "Czysty"    )   )  ) )</f>
        <v>Over+Under</v>
      </c>
      <c r="C80" s="1" t="s">
        <v>14</v>
      </c>
      <c r="D80" s="1" t="n">
        <v>0.4413</v>
      </c>
      <c r="E80" s="1" t="n">
        <v>0.4284</v>
      </c>
      <c r="F80" s="1" t="n">
        <v>0.4248</v>
      </c>
      <c r="G80" s="1" t="n">
        <v>0.5156</v>
      </c>
      <c r="I80" s="1"/>
      <c r="J80" s="1"/>
      <c r="K80" s="1"/>
      <c r="L80" s="1"/>
      <c r="M80" s="1"/>
      <c r="N80" s="1"/>
    </row>
    <row r="81" customFormat="false" ht="13.8" hidden="false" customHeight="false" outlineLevel="0" collapsed="false">
      <c r="A81" s="1" t="s">
        <v>124</v>
      </c>
      <c r="B81" s="1" t="str">
        <f aca="false">IF(  OR(ISNUMBER(SEARCH("SMOTEENN",A81)),ISNUMBER(SEARCH("SMOTETomek",A81))),  "Hybrid",  IF(   AND(    OR(ISNUMBER(SEARCH("SMOTE",A81)),ISNUMBER(SEARCH("SVMSMOTE",A81)),ISNUMBER(SEARCH("RandomOverSampler",A81)),ISNUMBER(SEARCH("BorderlineSmote",A81))),    OR(ISNUMBER(SEARCH("RandomUnderSampler",A81)),ISNUMBER(SEARCH("ClusterCentroids",A81)),ISNUMBER(SEARCH("OneSidedSelection",A81)))   ),   "Over+Under",   IF(    OR(ISNUMBER(SEARCH("SMOTE",A81)),ISNUMBER(SEARCH("SVMSMOTE",A81)),ISNUMBER(SEARCH("RandomOverSampler",A81)),ISNUMBER(SEARCH("BorderlineSmote",A81))),    "Oversampling",    IF(     OR(ISNUMBER(SEARCH("RandomUnderSampler",A81)),ISNUMBER(SEARCH("ClusterCentroids",A81)),ISNUMBER(SEARCH("OneSidedSelection",A81))),     "Undersampler",     "Czysty"    )   )  ) )</f>
        <v>Over+Under</v>
      </c>
      <c r="C81" s="1" t="s">
        <v>14</v>
      </c>
      <c r="D81" s="1" t="n">
        <v>0.4063</v>
      </c>
      <c r="E81" s="1" t="n">
        <v>0.3829</v>
      </c>
      <c r="F81" s="1" t="n">
        <v>0.3992</v>
      </c>
      <c r="G81" s="1" t="n">
        <v>0.4497</v>
      </c>
      <c r="I81" s="1"/>
      <c r="J81" s="1"/>
      <c r="K81" s="1"/>
      <c r="L81" s="1"/>
      <c r="M81" s="1"/>
      <c r="N81" s="1"/>
    </row>
    <row r="82" customFormat="false" ht="13.8" hidden="false" customHeight="false" outlineLevel="0" collapsed="false">
      <c r="A82" s="1" t="s">
        <v>87</v>
      </c>
      <c r="B82" s="1" t="str">
        <f aca="false">IF(  OR(ISNUMBER(SEARCH("SMOTEENN",A82)),ISNUMBER(SEARCH("SMOTETomek",A82))),  "Hybrid",  IF(   AND(    OR(ISNUMBER(SEARCH("SMOTE",A82)),ISNUMBER(SEARCH("SVMSMOTE",A82)),ISNUMBER(SEARCH("RandomOverSampler",A82)),ISNUMBER(SEARCH("BorderlineSmote",A82))),    OR(ISNUMBER(SEARCH("RandomUnderSampler",A82)),ISNUMBER(SEARCH("ClusterCentroids",A82)),ISNUMBER(SEARCH("OneSidedSelection",A82)))   ),   "Over+Under",   IF(    OR(ISNUMBER(SEARCH("SMOTE",A82)),ISNUMBER(SEARCH("SVMSMOTE",A82)),ISNUMBER(SEARCH("RandomOverSampler",A82)),ISNUMBER(SEARCH("BorderlineSmote",A82))),    "Oversampling",    IF(     OR(ISNUMBER(SEARCH("RandomUnderSampler",A82)),ISNUMBER(SEARCH("ClusterCentroids",A82)),ISNUMBER(SEARCH("OneSidedSelection",A82))),     "Undersampler",     "Czysty"    )   )  ) )</f>
        <v>Hybrid</v>
      </c>
      <c r="C82" s="1" t="s">
        <v>14</v>
      </c>
      <c r="D82" s="1" t="n">
        <v>0.4286</v>
      </c>
      <c r="E82" s="1" t="n">
        <v>0.3768</v>
      </c>
      <c r="F82" s="1" t="n">
        <v>0.4983</v>
      </c>
      <c r="G82" s="1" t="n">
        <v>0.5092</v>
      </c>
      <c r="I82" s="1"/>
      <c r="J82" s="1"/>
      <c r="K82" s="1"/>
      <c r="L82" s="1"/>
      <c r="M82" s="1"/>
      <c r="N82" s="1"/>
    </row>
    <row r="83" customFormat="false" ht="13.8" hidden="false" customHeight="false" outlineLevel="0" collapsed="false">
      <c r="A83" s="1" t="s">
        <v>86</v>
      </c>
      <c r="B83" s="1" t="str">
        <f aca="false">IF(  OR(ISNUMBER(SEARCH("SMOTEENN",A83)),ISNUMBER(SEARCH("SMOTETomek",A83))),  "Hybrid",  IF(   AND(    OR(ISNUMBER(SEARCH("SMOTE",A83)),ISNUMBER(SEARCH("SVMSMOTE",A83)),ISNUMBER(SEARCH("RandomOverSampler",A83)),ISNUMBER(SEARCH("BorderlineSmote",A83))),    OR(ISNUMBER(SEARCH("RandomUnderSampler",A83)),ISNUMBER(SEARCH("ClusterCentroids",A83)),ISNUMBER(SEARCH("OneSidedSelection",A83)))   ),   "Over+Under",   IF(    OR(ISNUMBER(SEARCH("SMOTE",A83)),ISNUMBER(SEARCH("SVMSMOTE",A83)),ISNUMBER(SEARCH("RandomOverSampler",A83)),ISNUMBER(SEARCH("BorderlineSmote",A83))),    "Oversampling",    IF(     OR(ISNUMBER(SEARCH("RandomUnderSampler",A83)),ISNUMBER(SEARCH("ClusterCentroids",A83)),ISNUMBER(SEARCH("OneSidedSelection",A83))),     "Undersampler",     "Czysty"    )   )  ) )</f>
        <v>Over+Under</v>
      </c>
      <c r="C83" s="1" t="s">
        <v>14</v>
      </c>
      <c r="D83" s="1" t="n">
        <v>0.3889</v>
      </c>
      <c r="E83" s="1" t="n">
        <v>0.376</v>
      </c>
      <c r="F83" s="1" t="n">
        <v>0.3678</v>
      </c>
      <c r="G83" s="1" t="n">
        <v>0.4355</v>
      </c>
      <c r="I83" s="1"/>
      <c r="J83" s="1"/>
      <c r="K83" s="1"/>
      <c r="L83" s="1"/>
      <c r="M83" s="1"/>
      <c r="N83" s="1"/>
    </row>
    <row r="84" customFormat="false" ht="13.8" hidden="false" customHeight="false" outlineLevel="0" collapsed="false">
      <c r="A84" s="1" t="s">
        <v>88</v>
      </c>
      <c r="B84" s="1" t="str">
        <f aca="false">IF(  OR(ISNUMBER(SEARCH("SMOTEENN",A84)),ISNUMBER(SEARCH("SMOTETomek",A84))),  "Hybrid",  IF(   AND(    OR(ISNUMBER(SEARCH("SMOTE",A84)),ISNUMBER(SEARCH("SVMSMOTE",A84)),ISNUMBER(SEARCH("RandomOverSampler",A84)),ISNUMBER(SEARCH("BorderlineSmote",A84))),    OR(ISNUMBER(SEARCH("RandomUnderSampler",A84)),ISNUMBER(SEARCH("ClusterCentroids",A84)),ISNUMBER(SEARCH("OneSidedSelection",A84)))   ),   "Over+Under",   IF(    OR(ISNUMBER(SEARCH("SMOTE",A84)),ISNUMBER(SEARCH("SVMSMOTE",A84)),ISNUMBER(SEARCH("RandomOverSampler",A84)),ISNUMBER(SEARCH("BorderlineSmote",A84))),    "Oversampling",    IF(     OR(ISNUMBER(SEARCH("RandomUnderSampler",A84)),ISNUMBER(SEARCH("ClusterCentroids",A84)),ISNUMBER(SEARCH("OneSidedSelection",A84))),     "Undersampler",     "Czysty"    )   )  ) )</f>
        <v>Over+Under</v>
      </c>
      <c r="C84" s="1" t="s">
        <v>74</v>
      </c>
      <c r="D84" s="1" t="n">
        <v>0.5968</v>
      </c>
      <c r="E84" s="1" t="n">
        <v>0.6284</v>
      </c>
      <c r="F84" s="1" t="n">
        <v>0.6449</v>
      </c>
      <c r="G84" s="1" t="n">
        <v>0.633</v>
      </c>
      <c r="I84" s="1"/>
      <c r="J84" s="1"/>
      <c r="K84" s="1"/>
      <c r="L84" s="1"/>
      <c r="M84" s="1"/>
      <c r="N84" s="1"/>
    </row>
    <row r="85" customFormat="false" ht="13.8" hidden="false" customHeight="false" outlineLevel="0" collapsed="false">
      <c r="A85" s="1" t="s">
        <v>79</v>
      </c>
      <c r="B85" s="1" t="str">
        <f aca="false">IF(  OR(ISNUMBER(SEARCH("SMOTEENN",A85)),ISNUMBER(SEARCH("SMOTETomek",A85))),  "Hybrid",  IF(   AND(    OR(ISNUMBER(SEARCH("SMOTE",A85)),ISNUMBER(SEARCH("SVMSMOTE",A85)),ISNUMBER(SEARCH("RandomOverSampler",A85)),ISNUMBER(SEARCH("BorderlineSmote",A85))),    OR(ISNUMBER(SEARCH("RandomUnderSampler",A85)),ISNUMBER(SEARCH("ClusterCentroids",A85)),ISNUMBER(SEARCH("OneSidedSelection",A85)))   ),   "Over+Under",   IF(    OR(ISNUMBER(SEARCH("SMOTE",A85)),ISNUMBER(SEARCH("SVMSMOTE",A85)),ISNUMBER(SEARCH("RandomOverSampler",A85)),ISNUMBER(SEARCH("BorderlineSmote",A85))),    "Oversampling",    IF(     OR(ISNUMBER(SEARCH("RandomUnderSampler",A85)),ISNUMBER(SEARCH("ClusterCentroids",A85)),ISNUMBER(SEARCH("OneSidedSelection",A85))),     "Undersampler",     "Czysty"    )   )  ) )</f>
        <v>Oversampling</v>
      </c>
      <c r="C85" s="1" t="s">
        <v>74</v>
      </c>
      <c r="D85" s="1" t="n">
        <v>0.5667</v>
      </c>
      <c r="E85" s="1" t="n">
        <v>0.62</v>
      </c>
      <c r="F85" s="1" t="n">
        <v>0.6338</v>
      </c>
      <c r="G85" s="1" t="n">
        <v>0.615</v>
      </c>
      <c r="I85" s="1"/>
      <c r="J85" s="1"/>
      <c r="K85" s="1"/>
      <c r="L85" s="1"/>
      <c r="M85" s="1"/>
      <c r="N85" s="1"/>
    </row>
    <row r="86" customFormat="false" ht="13.8" hidden="false" customHeight="false" outlineLevel="0" collapsed="false">
      <c r="A86" s="1" t="s">
        <v>80</v>
      </c>
      <c r="B86" s="1" t="str">
        <f aca="false">IF(  OR(ISNUMBER(SEARCH("SMOTEENN",A86)),ISNUMBER(SEARCH("SMOTETomek",A86))),  "Hybrid",  IF(   AND(    OR(ISNUMBER(SEARCH("SMOTE",A86)),ISNUMBER(SEARCH("SVMSMOTE",A86)),ISNUMBER(SEARCH("RandomOverSampler",A86)),ISNUMBER(SEARCH("BorderlineSmote",A86))),    OR(ISNUMBER(SEARCH("RandomUnderSampler",A86)),ISNUMBER(SEARCH("ClusterCentroids",A86)),ISNUMBER(SEARCH("OneSidedSelection",A86)))   ),   "Over+Under",   IF(    OR(ISNUMBER(SEARCH("SMOTE",A86)),ISNUMBER(SEARCH("SVMSMOTE",A86)),ISNUMBER(SEARCH("RandomOverSampler",A86)),ISNUMBER(SEARCH("BorderlineSmote",A86))),    "Oversampling",    IF(     OR(ISNUMBER(SEARCH("RandomUnderSampler",A86)),ISNUMBER(SEARCH("ClusterCentroids",A86)),ISNUMBER(SEARCH("OneSidedSelection",A86))),     "Undersampler",     "Czysty"    )   )  ) )</f>
        <v>Hybrid</v>
      </c>
      <c r="C86" s="1" t="s">
        <v>74</v>
      </c>
      <c r="D86" s="1" t="n">
        <v>0.5524</v>
      </c>
      <c r="E86" s="1" t="n">
        <v>0.6148</v>
      </c>
      <c r="F86" s="1" t="n">
        <v>0.637</v>
      </c>
      <c r="G86" s="1" t="n">
        <v>0.6111</v>
      </c>
      <c r="I86" s="1"/>
      <c r="J86" s="1"/>
      <c r="K86" s="1"/>
      <c r="L86" s="1"/>
      <c r="M86" s="1"/>
      <c r="N86" s="1"/>
    </row>
    <row r="87" customFormat="false" ht="13.8" hidden="false" customHeight="false" outlineLevel="0" collapsed="false">
      <c r="A87" s="1" t="s">
        <v>123</v>
      </c>
      <c r="B87" s="1" t="str">
        <f aca="false">IF(  OR(ISNUMBER(SEARCH("SMOTEENN",A87)),ISNUMBER(SEARCH("SMOTETomek",A87))),  "Hybrid",  IF(   AND(    OR(ISNUMBER(SEARCH("SMOTE",A87)),ISNUMBER(SEARCH("SVMSMOTE",A87)),ISNUMBER(SEARCH("RandomOverSampler",A87)),ISNUMBER(SEARCH("BorderlineSmote",A87))),    OR(ISNUMBER(SEARCH("RandomUnderSampler",A87)),ISNUMBER(SEARCH("ClusterCentroids",A87)),ISNUMBER(SEARCH("OneSidedSelection",A87)))   ),   "Over+Under",   IF(    OR(ISNUMBER(SEARCH("SMOTE",A87)),ISNUMBER(SEARCH("SVMSMOTE",A87)),ISNUMBER(SEARCH("RandomOverSampler",A87)),ISNUMBER(SEARCH("BorderlineSmote",A87))),    "Oversampling",    IF(     OR(ISNUMBER(SEARCH("RandomUnderSampler",A87)),ISNUMBER(SEARCH("ClusterCentroids",A87)),ISNUMBER(SEARCH("OneSidedSelection",A87))),     "Undersampler",     "Czysty"    )   )  ) )</f>
        <v>Oversampling</v>
      </c>
      <c r="C87" s="1" t="s">
        <v>74</v>
      </c>
      <c r="D87" s="1" t="n">
        <v>0.5683</v>
      </c>
      <c r="E87" s="1" t="n">
        <v>0.5986</v>
      </c>
      <c r="F87" s="1" t="n">
        <v>0.6244</v>
      </c>
      <c r="G87" s="1" t="n">
        <v>0.5875</v>
      </c>
      <c r="I87" s="1"/>
      <c r="J87" s="1"/>
      <c r="K87" s="1"/>
      <c r="L87" s="1"/>
      <c r="M87" s="1"/>
      <c r="N87" s="1"/>
    </row>
    <row r="88" customFormat="false" ht="13.8" hidden="false" customHeight="false" outlineLevel="0" collapsed="false">
      <c r="A88" s="1" t="s">
        <v>126</v>
      </c>
      <c r="B88" s="1" t="str">
        <f aca="false">IF(  OR(ISNUMBER(SEARCH("SMOTEENN",A88)),ISNUMBER(SEARCH("SMOTETomek",A88))),  "Hybrid",  IF(   AND(    OR(ISNUMBER(SEARCH("SMOTE",A88)),ISNUMBER(SEARCH("SVMSMOTE",A88)),ISNUMBER(SEARCH("RandomOverSampler",A88)),ISNUMBER(SEARCH("BorderlineSmote",A88))),    OR(ISNUMBER(SEARCH("RandomUnderSampler",A88)),ISNUMBER(SEARCH("ClusterCentroids",A88)),ISNUMBER(SEARCH("OneSidedSelection",A88)))   ),   "Over+Under",   IF(    OR(ISNUMBER(SEARCH("SMOTE",A88)),ISNUMBER(SEARCH("SVMSMOTE",A88)),ISNUMBER(SEARCH("RandomOverSampler",A88)),ISNUMBER(SEARCH("BorderlineSmote",A88))),    "Oversampling",    IF(     OR(ISNUMBER(SEARCH("RandomUnderSampler",A88)),ISNUMBER(SEARCH("ClusterCentroids",A88)),ISNUMBER(SEARCH("OneSidedSelection",A88))),     "Undersampler",     "Czysty"    )   )  ) )</f>
        <v>Oversampling</v>
      </c>
      <c r="C88" s="1" t="s">
        <v>74</v>
      </c>
      <c r="D88" s="1" t="n">
        <v>0.5778</v>
      </c>
      <c r="E88" s="1" t="n">
        <v>0.591</v>
      </c>
      <c r="F88" s="1" t="n">
        <v>0.5884</v>
      </c>
      <c r="G88" s="1" t="n">
        <v>0.6043</v>
      </c>
      <c r="I88" s="1"/>
      <c r="J88" s="1"/>
      <c r="K88" s="1"/>
      <c r="L88" s="1"/>
      <c r="M88" s="1"/>
      <c r="N88" s="1"/>
    </row>
    <row r="89" customFormat="false" ht="13.8" hidden="false" customHeight="false" outlineLevel="0" collapsed="false">
      <c r="A89" s="1" t="s">
        <v>81</v>
      </c>
      <c r="B89" s="1" t="str">
        <f aca="false">IF(  OR(ISNUMBER(SEARCH("SMOTEENN",A89)),ISNUMBER(SEARCH("SMOTETomek",A89))),  "Hybrid",  IF(   AND(    OR(ISNUMBER(SEARCH("SMOTE",A89)),ISNUMBER(SEARCH("SVMSMOTE",A89)),ISNUMBER(SEARCH("RandomOverSampler",A89)),ISNUMBER(SEARCH("BorderlineSmote",A89))),    OR(ISNUMBER(SEARCH("RandomUnderSampler",A89)),ISNUMBER(SEARCH("ClusterCentroids",A89)),ISNUMBER(SEARCH("OneSidedSelection",A89)))   ),   "Over+Under",   IF(    OR(ISNUMBER(SEARCH("SMOTE",A89)),ISNUMBER(SEARCH("SVMSMOTE",A89)),ISNUMBER(SEARCH("RandomOverSampler",A89)),ISNUMBER(SEARCH("BorderlineSmote",A89))),    "Oversampling",    IF(     OR(ISNUMBER(SEARCH("RandomUnderSampler",A89)),ISNUMBER(SEARCH("ClusterCentroids",A89)),ISNUMBER(SEARCH("OneSidedSelection",A89))),     "Undersampler",     "Czysty"    )   )  ) )</f>
        <v>Oversampling</v>
      </c>
      <c r="C89" s="1" t="s">
        <v>74</v>
      </c>
      <c r="D89" s="1" t="n">
        <v>0.5413</v>
      </c>
      <c r="E89" s="1" t="n">
        <v>0.5848</v>
      </c>
      <c r="F89" s="1" t="n">
        <v>0.6036</v>
      </c>
      <c r="G89" s="1" t="n">
        <v>0.58</v>
      </c>
      <c r="I89" s="1"/>
      <c r="J89" s="1"/>
      <c r="K89" s="1"/>
      <c r="L89" s="1"/>
      <c r="M89" s="1"/>
      <c r="N89" s="1"/>
    </row>
    <row r="90" customFormat="false" ht="13.8" hidden="false" customHeight="false" outlineLevel="0" collapsed="false">
      <c r="A90" s="1" t="s">
        <v>84</v>
      </c>
      <c r="B90" s="1" t="str">
        <f aca="false">IF(  OR(ISNUMBER(SEARCH("SMOTEENN",A90)),ISNUMBER(SEARCH("SMOTETomek",A90))),  "Hybrid",  IF(   AND(    OR(ISNUMBER(SEARCH("SMOTE",A90)),ISNUMBER(SEARCH("SVMSMOTE",A90)),ISNUMBER(SEARCH("RandomOverSampler",A90)),ISNUMBER(SEARCH("BorderlineSmote",A90))),    OR(ISNUMBER(SEARCH("RandomUnderSampler",A90)),ISNUMBER(SEARCH("ClusterCentroids",A90)),ISNUMBER(SEARCH("OneSidedSelection",A90)))   ),   "Over+Under",   IF(    OR(ISNUMBER(SEARCH("SMOTE",A90)),ISNUMBER(SEARCH("SVMSMOTE",A90)),ISNUMBER(SEARCH("RandomOverSampler",A90)),ISNUMBER(SEARCH("BorderlineSmote",A90))),    "Oversampling",    IF(     OR(ISNUMBER(SEARCH("RandomUnderSampler",A90)),ISNUMBER(SEARCH("ClusterCentroids",A90)),ISNUMBER(SEARCH("OneSidedSelection",A90))),     "Undersampler",     "Czysty"    )   )  ) )</f>
        <v>Over+Under</v>
      </c>
      <c r="C90" s="1" t="s">
        <v>74</v>
      </c>
      <c r="D90" s="1" t="n">
        <v>0.5381</v>
      </c>
      <c r="E90" s="1" t="n">
        <v>0.548</v>
      </c>
      <c r="F90" s="1" t="n">
        <v>0.5654</v>
      </c>
      <c r="G90" s="1" t="n">
        <v>0.5803</v>
      </c>
      <c r="I90" s="1"/>
      <c r="J90" s="1"/>
      <c r="K90" s="1"/>
      <c r="L90" s="1"/>
      <c r="M90" s="1"/>
      <c r="N90" s="1"/>
    </row>
    <row r="91" customFormat="false" ht="13.8" hidden="false" customHeight="false" outlineLevel="0" collapsed="false">
      <c r="A91" s="1" t="s">
        <v>23</v>
      </c>
      <c r="B91" s="1" t="str">
        <f aca="false">IF(  OR(ISNUMBER(SEARCH("SMOTEENN",A91)),ISNUMBER(SEARCH("SMOTETomek",A91))),  "Hybrid",  IF(   AND(    OR(ISNUMBER(SEARCH("SMOTE",A91)),ISNUMBER(SEARCH("SVMSMOTE",A91)),ISNUMBER(SEARCH("RandomOverSampler",A91)),ISNUMBER(SEARCH("BorderlineSmote",A91))),    OR(ISNUMBER(SEARCH("RandomUnderSampler",A91)),ISNUMBER(SEARCH("ClusterCentroids",A91)),ISNUMBER(SEARCH("OneSidedSelection",A91)))   ),   "Over+Under",   IF(    OR(ISNUMBER(SEARCH("SMOTE",A91)),ISNUMBER(SEARCH("SVMSMOTE",A91)),ISNUMBER(SEARCH("RandomOverSampler",A91)),ISNUMBER(SEARCH("BorderlineSmote",A91))),    "Oversampling",    IF(     OR(ISNUMBER(SEARCH("RandomUnderSampler",A91)),ISNUMBER(SEARCH("ClusterCentroids",A91)),ISNUMBER(SEARCH("OneSidedSelection",A91))),     "Undersampler",     "Czysty"    )   )  ) )</f>
        <v>Czysty</v>
      </c>
      <c r="C91" s="1" t="s">
        <v>74</v>
      </c>
      <c r="D91" s="1" t="n">
        <v>0.5333</v>
      </c>
      <c r="E91" s="1" t="n">
        <v>0.5404</v>
      </c>
      <c r="F91" s="1" t="n">
        <v>0.5813</v>
      </c>
      <c r="G91" s="1" t="n">
        <v>0.5278</v>
      </c>
      <c r="I91" s="1"/>
      <c r="J91" s="1"/>
      <c r="K91" s="1"/>
      <c r="L91" s="1"/>
      <c r="M91" s="1"/>
      <c r="N91" s="1"/>
    </row>
    <row r="92" customFormat="false" ht="13.8" hidden="false" customHeight="false" outlineLevel="0" collapsed="false">
      <c r="A92" s="1" t="s">
        <v>125</v>
      </c>
      <c r="B92" s="1" t="str">
        <f aca="false">IF(  OR(ISNUMBER(SEARCH("SMOTEENN",A92)),ISNUMBER(SEARCH("SMOTETomek",A92))),  "Hybrid",  IF(   AND(    OR(ISNUMBER(SEARCH("SMOTE",A92)),ISNUMBER(SEARCH("SVMSMOTE",A92)),ISNUMBER(SEARCH("RandomOverSampler",A92)),ISNUMBER(SEARCH("BorderlineSmote",A92))),    OR(ISNUMBER(SEARCH("RandomUnderSampler",A92)),ISNUMBER(SEARCH("ClusterCentroids",A92)),ISNUMBER(SEARCH("OneSidedSelection",A92)))   ),   "Over+Under",   IF(    OR(ISNUMBER(SEARCH("SMOTE",A92)),ISNUMBER(SEARCH("SVMSMOTE",A92)),ISNUMBER(SEARCH("RandomOverSampler",A92)),ISNUMBER(SEARCH("BorderlineSmote",A92))),    "Oversampling",    IF(     OR(ISNUMBER(SEARCH("RandomUnderSampler",A92)),ISNUMBER(SEARCH("ClusterCentroids",A92)),ISNUMBER(SEARCH("OneSidedSelection",A92))),     "Undersampler",     "Czysty"    )   )  ) )</f>
        <v>Over+Under</v>
      </c>
      <c r="C92" s="1" t="s">
        <v>74</v>
      </c>
      <c r="D92" s="1" t="n">
        <v>0.4762</v>
      </c>
      <c r="E92" s="1" t="n">
        <v>0.4727</v>
      </c>
      <c r="F92" s="1" t="n">
        <v>0.4628</v>
      </c>
      <c r="G92" s="1" t="n">
        <v>0.5478</v>
      </c>
      <c r="I92" s="1"/>
      <c r="J92" s="1"/>
      <c r="K92" s="1"/>
      <c r="L92" s="1"/>
      <c r="M92" s="1"/>
      <c r="N92" s="1"/>
    </row>
    <row r="93" customFormat="false" ht="13.8" hidden="false" customHeight="false" outlineLevel="0" collapsed="false">
      <c r="A93" s="1" t="s">
        <v>82</v>
      </c>
      <c r="B93" s="1" t="str">
        <f aca="false">IF(  OR(ISNUMBER(SEARCH("SMOTEENN",A93)),ISNUMBER(SEARCH("SMOTETomek",A93))),  "Hybrid",  IF(   AND(    OR(ISNUMBER(SEARCH("SMOTE",A93)),ISNUMBER(SEARCH("SVMSMOTE",A93)),ISNUMBER(SEARCH("RandomOverSampler",A93)),ISNUMBER(SEARCH("BorderlineSmote",A93))),    OR(ISNUMBER(SEARCH("RandomUnderSampler",A93)),ISNUMBER(SEARCH("ClusterCentroids",A93)),ISNUMBER(SEARCH("OneSidedSelection",A93)))   ),   "Over+Under",   IF(    OR(ISNUMBER(SEARCH("SMOTE",A93)),ISNUMBER(SEARCH("SVMSMOTE",A93)),ISNUMBER(SEARCH("RandomOverSampler",A93)),ISNUMBER(SEARCH("BorderlineSmote",A93))),    "Oversampling",    IF(     OR(ISNUMBER(SEARCH("RandomUnderSampler",A93)),ISNUMBER(SEARCH("ClusterCentroids",A93)),ISNUMBER(SEARCH("OneSidedSelection",A93))),     "Undersampler",     "Czysty"    )   )  ) )</f>
        <v>Over+Under</v>
      </c>
      <c r="C93" s="1" t="s">
        <v>74</v>
      </c>
      <c r="D93" s="1" t="n">
        <v>0.4429</v>
      </c>
      <c r="E93" s="1" t="n">
        <v>0.4264</v>
      </c>
      <c r="F93" s="1" t="n">
        <v>0.4284</v>
      </c>
      <c r="G93" s="1" t="n">
        <v>0.4929</v>
      </c>
      <c r="I93" s="1"/>
      <c r="J93" s="1"/>
      <c r="K93" s="1"/>
      <c r="L93" s="1"/>
      <c r="M93" s="1"/>
      <c r="N93" s="1"/>
    </row>
    <row r="94" customFormat="false" ht="13.8" hidden="false" customHeight="false" outlineLevel="0" collapsed="false">
      <c r="A94" s="1" t="s">
        <v>85</v>
      </c>
      <c r="B94" s="1" t="str">
        <f aca="false">IF(  OR(ISNUMBER(SEARCH("SMOTEENN",A94)),ISNUMBER(SEARCH("SMOTETomek",A94))),  "Hybrid",  IF(   AND(    OR(ISNUMBER(SEARCH("SMOTE",A94)),ISNUMBER(SEARCH("SVMSMOTE",A94)),ISNUMBER(SEARCH("RandomOverSampler",A94)),ISNUMBER(SEARCH("BorderlineSmote",A94))),    OR(ISNUMBER(SEARCH("RandomUnderSampler",A94)),ISNUMBER(SEARCH("ClusterCentroids",A94)),ISNUMBER(SEARCH("OneSidedSelection",A94)))   ),   "Over+Under",   IF(    OR(ISNUMBER(SEARCH("SMOTE",A94)),ISNUMBER(SEARCH("SVMSMOTE",A94)),ISNUMBER(SEARCH("RandomOverSampler",A94)),ISNUMBER(SEARCH("BorderlineSmote",A94))),    "Oversampling",    IF(     OR(ISNUMBER(SEARCH("RandomUnderSampler",A94)),ISNUMBER(SEARCH("ClusterCentroids",A94)),ISNUMBER(SEARCH("OneSidedSelection",A94))),     "Undersampler",     "Czysty"    )   )  ) )</f>
        <v>Over+Under</v>
      </c>
      <c r="C94" s="1" t="s">
        <v>74</v>
      </c>
      <c r="D94" s="1" t="n">
        <v>0.427</v>
      </c>
      <c r="E94" s="1" t="n">
        <v>0.426</v>
      </c>
      <c r="F94" s="1" t="n">
        <v>0.434</v>
      </c>
      <c r="G94" s="1" t="n">
        <v>0.502</v>
      </c>
      <c r="I94" s="1"/>
      <c r="J94" s="1"/>
      <c r="K94" s="1"/>
      <c r="L94" s="1"/>
      <c r="M94" s="1"/>
      <c r="N94" s="1"/>
    </row>
    <row r="95" customFormat="false" ht="13.8" hidden="false" customHeight="false" outlineLevel="0" collapsed="false">
      <c r="A95" s="1" t="s">
        <v>83</v>
      </c>
      <c r="B95" s="1" t="str">
        <f aca="false">IF(  OR(ISNUMBER(SEARCH("SMOTEENN",A95)),ISNUMBER(SEARCH("SMOTETomek",A95))),  "Hybrid",  IF(   AND(    OR(ISNUMBER(SEARCH("SMOTE",A95)),ISNUMBER(SEARCH("SVMSMOTE",A95)),ISNUMBER(SEARCH("RandomOverSampler",A95)),ISNUMBER(SEARCH("BorderlineSmote",A95))),    OR(ISNUMBER(SEARCH("RandomUnderSampler",A95)),ISNUMBER(SEARCH("ClusterCentroids",A95)),ISNUMBER(SEARCH("OneSidedSelection",A95)))   ),   "Over+Under",   IF(    OR(ISNUMBER(SEARCH("SMOTE",A95)),ISNUMBER(SEARCH("SVMSMOTE",A95)),ISNUMBER(SEARCH("RandomOverSampler",A95)),ISNUMBER(SEARCH("BorderlineSmote",A95))),    "Oversampling",    IF(     OR(ISNUMBER(SEARCH("RandomUnderSampler",A95)),ISNUMBER(SEARCH("ClusterCentroids",A95)),ISNUMBER(SEARCH("OneSidedSelection",A95))),     "Undersampler",     "Czysty"    )   )  ) )</f>
        <v>Over+Under</v>
      </c>
      <c r="C95" s="1" t="s">
        <v>74</v>
      </c>
      <c r="D95" s="1" t="n">
        <v>0.446</v>
      </c>
      <c r="E95" s="1" t="n">
        <v>0.4152</v>
      </c>
      <c r="F95" s="1" t="n">
        <v>0.4311</v>
      </c>
      <c r="G95" s="1" t="n">
        <v>0.5209</v>
      </c>
      <c r="I95" s="1"/>
      <c r="J95" s="1"/>
      <c r="K95" s="1"/>
      <c r="L95" s="1"/>
      <c r="M95" s="1"/>
      <c r="N95" s="1"/>
    </row>
    <row r="96" customFormat="false" ht="13.8" hidden="false" customHeight="false" outlineLevel="0" collapsed="false">
      <c r="A96" s="1" t="s">
        <v>124</v>
      </c>
      <c r="B96" s="1" t="str">
        <f aca="false">IF(  OR(ISNUMBER(SEARCH("SMOTEENN",A96)),ISNUMBER(SEARCH("SMOTETomek",A96))),  "Hybrid",  IF(   AND(    OR(ISNUMBER(SEARCH("SMOTE",A96)),ISNUMBER(SEARCH("SVMSMOTE",A96)),ISNUMBER(SEARCH("RandomOverSampler",A96)),ISNUMBER(SEARCH("BorderlineSmote",A96))),    OR(ISNUMBER(SEARCH("RandomUnderSampler",A96)),ISNUMBER(SEARCH("ClusterCentroids",A96)),ISNUMBER(SEARCH("OneSidedSelection",A96)))   ),   "Over+Under",   IF(    OR(ISNUMBER(SEARCH("SMOTE",A96)),ISNUMBER(SEARCH("SVMSMOTE",A96)),ISNUMBER(SEARCH("RandomOverSampler",A96)),ISNUMBER(SEARCH("BorderlineSmote",A96))),    "Oversampling",    IF(     OR(ISNUMBER(SEARCH("RandomUnderSampler",A96)),ISNUMBER(SEARCH("ClusterCentroids",A96)),ISNUMBER(SEARCH("OneSidedSelection",A96))),     "Undersampler",     "Czysty"    )   )  ) )</f>
        <v>Over+Under</v>
      </c>
      <c r="C96" s="1" t="s">
        <v>74</v>
      </c>
      <c r="D96" s="1" t="n">
        <v>0.3905</v>
      </c>
      <c r="E96" s="1" t="n">
        <v>0.3866</v>
      </c>
      <c r="F96" s="1" t="n">
        <v>0.4053</v>
      </c>
      <c r="G96" s="1" t="n">
        <v>0.4823</v>
      </c>
      <c r="I96" s="1"/>
      <c r="J96" s="1"/>
      <c r="K96" s="1"/>
      <c r="L96" s="1"/>
      <c r="M96" s="1"/>
      <c r="N96" s="1"/>
    </row>
    <row r="97" customFormat="false" ht="13.8" hidden="false" customHeight="false" outlineLevel="0" collapsed="false">
      <c r="A97" s="1" t="s">
        <v>87</v>
      </c>
      <c r="B97" s="1" t="str">
        <f aca="false">IF(  OR(ISNUMBER(SEARCH("SMOTEENN",A97)),ISNUMBER(SEARCH("SMOTETomek",A97))),  "Hybrid",  IF(   AND(    OR(ISNUMBER(SEARCH("SMOTE",A97)),ISNUMBER(SEARCH("SVMSMOTE",A97)),ISNUMBER(SEARCH("RandomOverSampler",A97)),ISNUMBER(SEARCH("BorderlineSmote",A97))),    OR(ISNUMBER(SEARCH("RandomUnderSampler",A97)),ISNUMBER(SEARCH("ClusterCentroids",A97)),ISNUMBER(SEARCH("OneSidedSelection",A97)))   ),   "Over+Under",   IF(    OR(ISNUMBER(SEARCH("SMOTE",A97)),ISNUMBER(SEARCH("SVMSMOTE",A97)),ISNUMBER(SEARCH("RandomOverSampler",A97)),ISNUMBER(SEARCH("BorderlineSmote",A97))),    "Oversampling",    IF(     OR(ISNUMBER(SEARCH("RandomUnderSampler",A97)),ISNUMBER(SEARCH("ClusterCentroids",A97)),ISNUMBER(SEARCH("OneSidedSelection",A97))),     "Undersampler",     "Czysty"    )   )  ) )</f>
        <v>Hybrid</v>
      </c>
      <c r="C97" s="1" t="s">
        <v>74</v>
      </c>
      <c r="D97" s="1" t="n">
        <v>0.4238</v>
      </c>
      <c r="E97" s="1" t="n">
        <v>0.3844</v>
      </c>
      <c r="F97" s="1" t="n">
        <v>0.4795</v>
      </c>
      <c r="G97" s="1" t="n">
        <v>0.4774</v>
      </c>
      <c r="I97" s="1"/>
      <c r="J97" s="1"/>
      <c r="K97" s="1"/>
      <c r="L97" s="1"/>
      <c r="M97" s="1"/>
      <c r="N97" s="1"/>
    </row>
    <row r="98" customFormat="false" ht="13.8" hidden="false" customHeight="false" outlineLevel="0" collapsed="false">
      <c r="A98" s="1" t="s">
        <v>86</v>
      </c>
      <c r="B98" s="1" t="str">
        <f aca="false">IF(  OR(ISNUMBER(SEARCH("SMOTEENN",A98)),ISNUMBER(SEARCH("SMOTETomek",A98))),  "Hybrid",  IF(   AND(    OR(ISNUMBER(SEARCH("SMOTE",A98)),ISNUMBER(SEARCH("SVMSMOTE",A98)),ISNUMBER(SEARCH("RandomOverSampler",A98)),ISNUMBER(SEARCH("BorderlineSmote",A98))),    OR(ISNUMBER(SEARCH("RandomUnderSampler",A98)),ISNUMBER(SEARCH("ClusterCentroids",A98)),ISNUMBER(SEARCH("OneSidedSelection",A98)))   ),   "Over+Under",   IF(    OR(ISNUMBER(SEARCH("SMOTE",A98)),ISNUMBER(SEARCH("SVMSMOTE",A98)),ISNUMBER(SEARCH("RandomOverSampler",A98)),ISNUMBER(SEARCH("BorderlineSmote",A98))),    "Oversampling",    IF(     OR(ISNUMBER(SEARCH("RandomUnderSampler",A98)),ISNUMBER(SEARCH("ClusterCentroids",A98)),ISNUMBER(SEARCH("OneSidedSelection",A98))),     "Undersampler",     "Czysty"    )   )  ) )</f>
        <v>Over+Under</v>
      </c>
      <c r="C98" s="1" t="s">
        <v>74</v>
      </c>
      <c r="D98" s="1" t="n">
        <v>0.3905</v>
      </c>
      <c r="E98" s="1" t="n">
        <v>0.3785</v>
      </c>
      <c r="F98" s="1" t="n">
        <v>0.3983</v>
      </c>
      <c r="G98" s="1" t="n">
        <v>0.452</v>
      </c>
      <c r="I98" s="1"/>
      <c r="J98" s="1"/>
      <c r="K98" s="1"/>
      <c r="L98" s="1"/>
      <c r="M98" s="1"/>
      <c r="N98" s="1"/>
    </row>
    <row r="100" customFormat="false" ht="13.8" hidden="false" customHeight="false" outlineLevel="0" collapsed="false">
      <c r="A100" s="2" t="s">
        <v>26</v>
      </c>
      <c r="B100" s="2"/>
      <c r="C100" s="2"/>
      <c r="D100" s="2"/>
      <c r="E100" s="2"/>
      <c r="F100" s="2"/>
      <c r="G100" s="2"/>
    </row>
    <row r="101" customFormat="false" ht="13.8" hidden="false" customHeight="false" outlineLevel="0" collapsed="false">
      <c r="A101" s="4" t="s">
        <v>2</v>
      </c>
      <c r="B101" s="4" t="s">
        <v>4</v>
      </c>
      <c r="C101" s="4" t="s">
        <v>5</v>
      </c>
      <c r="D101" s="4" t="s">
        <v>6</v>
      </c>
      <c r="E101" s="4" t="s">
        <v>127</v>
      </c>
      <c r="F101" s="4" t="s">
        <v>9</v>
      </c>
      <c r="G101" s="4" t="s">
        <v>10</v>
      </c>
    </row>
    <row r="102" customFormat="false" ht="13.8" hidden="false" customHeight="false" outlineLevel="0" collapsed="false">
      <c r="A102" s="1" t="s">
        <v>79</v>
      </c>
      <c r="B102" s="1" t="str">
        <f aca="false">IF(  OR(ISNUMBER(SEARCH("SMOTEENN",A102)),ISNUMBER(SEARCH("SMOTETomek",A102))),  "Hybrid",  IF(   AND(    OR(ISNUMBER(SEARCH("SMOTE",A102)),ISNUMBER(SEARCH("SVMSMOTE",A102)),ISNUMBER(SEARCH("RandomOverSampler",A102)),ISNUMBER(SEARCH("BorderlineSmote",A102))),    OR(ISNUMBER(SEARCH("RandomUnderSampler",A102)),ISNUMBER(SEARCH("ClusterCentroids",A102)),ISNUMBER(SEARCH("OneSidedSelection",A102)))   ),   "Over+Under",   IF(    OR(ISNUMBER(SEARCH("SMOTE",A102)),ISNUMBER(SEARCH("SVMSMOTE",A102)),ISNUMBER(SEARCH("RandomOverSampler",A102)),ISNUMBER(SEARCH("BorderlineSmote",A102))),    "Oversampling",    IF(     OR(ISNUMBER(SEARCH("RandomUnderSampler",A102)),ISNUMBER(SEARCH("ClusterCentroids",A102)),ISNUMBER(SEARCH("OneSidedSelection",A102))),     "Undersampler",     "Czysty"    )   )  ) )</f>
        <v>Oversampling</v>
      </c>
      <c r="C102" s="1" t="s">
        <v>14</v>
      </c>
      <c r="D102" s="1" t="n">
        <v>0.5762</v>
      </c>
      <c r="E102" s="1" t="n">
        <v>0.6296</v>
      </c>
      <c r="F102" s="1" t="n">
        <v>0.7017</v>
      </c>
      <c r="G102" s="1" t="n">
        <v>0.5934</v>
      </c>
      <c r="I102" s="1"/>
      <c r="J102" s="1"/>
      <c r="K102" s="1"/>
      <c r="L102" s="1"/>
      <c r="M102" s="1"/>
      <c r="N102" s="1"/>
    </row>
    <row r="103" customFormat="false" ht="13.8" hidden="false" customHeight="false" outlineLevel="0" collapsed="false">
      <c r="A103" s="1" t="s">
        <v>80</v>
      </c>
      <c r="B103" s="1" t="str">
        <f aca="false">IF(  OR(ISNUMBER(SEARCH("SMOTEENN",A103)),ISNUMBER(SEARCH("SMOTETomek",A103))),  "Hybrid",  IF(   AND(    OR(ISNUMBER(SEARCH("SMOTE",A103)),ISNUMBER(SEARCH("SVMSMOTE",A103)),ISNUMBER(SEARCH("RandomOverSampler",A103)),ISNUMBER(SEARCH("BorderlineSmote",A103))),    OR(ISNUMBER(SEARCH("RandomUnderSampler",A103)),ISNUMBER(SEARCH("ClusterCentroids",A103)),ISNUMBER(SEARCH("OneSidedSelection",A103)))   ),   "Over+Under",   IF(    OR(ISNUMBER(SEARCH("SMOTE",A103)),ISNUMBER(SEARCH("SVMSMOTE",A103)),ISNUMBER(SEARCH("RandomOverSampler",A103)),ISNUMBER(SEARCH("BorderlineSmote",A103))),    "Oversampling",    IF(     OR(ISNUMBER(SEARCH("RandomUnderSampler",A103)),ISNUMBER(SEARCH("ClusterCentroids",A103)),ISNUMBER(SEARCH("OneSidedSelection",A103))),     "Undersampler",     "Czysty"    )   )  ) )</f>
        <v>Hybrid</v>
      </c>
      <c r="C103" s="1" t="s">
        <v>14</v>
      </c>
      <c r="D103" s="1" t="n">
        <v>0.5413</v>
      </c>
      <c r="E103" s="1" t="n">
        <v>0.5687</v>
      </c>
      <c r="F103" s="1" t="n">
        <v>0.6461</v>
      </c>
      <c r="G103" s="1" t="n">
        <v>0.5386</v>
      </c>
      <c r="I103" s="1"/>
      <c r="J103" s="1"/>
      <c r="K103" s="1"/>
      <c r="L103" s="1"/>
      <c r="M103" s="1"/>
      <c r="N103" s="1"/>
    </row>
    <row r="104" customFormat="false" ht="13.8" hidden="false" customHeight="false" outlineLevel="0" collapsed="false">
      <c r="A104" s="1" t="s">
        <v>123</v>
      </c>
      <c r="B104" s="1" t="str">
        <f aca="false">IF(  OR(ISNUMBER(SEARCH("SMOTEENN",A104)),ISNUMBER(SEARCH("SMOTETomek",A104))),  "Hybrid",  IF(   AND(    OR(ISNUMBER(SEARCH("SMOTE",A104)),ISNUMBER(SEARCH("SVMSMOTE",A104)),ISNUMBER(SEARCH("RandomOverSampler",A104)),ISNUMBER(SEARCH("BorderlineSmote",A104))),    OR(ISNUMBER(SEARCH("RandomUnderSampler",A104)),ISNUMBER(SEARCH("ClusterCentroids",A104)),ISNUMBER(SEARCH("OneSidedSelection",A104)))   ),   "Over+Under",   IF(    OR(ISNUMBER(SEARCH("SMOTE",A104)),ISNUMBER(SEARCH("SVMSMOTE",A104)),ISNUMBER(SEARCH("RandomOverSampler",A104)),ISNUMBER(SEARCH("BorderlineSmote",A104))),    "Oversampling",    IF(     OR(ISNUMBER(SEARCH("RandomUnderSampler",A104)),ISNUMBER(SEARCH("ClusterCentroids",A104)),ISNUMBER(SEARCH("OneSidedSelection",A104))),     "Undersampler",     "Czysty"    )   )  ) )</f>
        <v>Oversampling</v>
      </c>
      <c r="C104" s="1" t="s">
        <v>14</v>
      </c>
      <c r="D104" s="1" t="n">
        <v>0.5603</v>
      </c>
      <c r="E104" s="1" t="n">
        <v>0.5601</v>
      </c>
      <c r="F104" s="1" t="n">
        <v>0.6717</v>
      </c>
      <c r="G104" s="1" t="n">
        <v>0.5308</v>
      </c>
      <c r="I104" s="1"/>
      <c r="J104" s="1"/>
      <c r="K104" s="1"/>
      <c r="L104" s="1"/>
      <c r="M104" s="1"/>
      <c r="N104" s="1"/>
    </row>
    <row r="105" customFormat="false" ht="13.8" hidden="false" customHeight="false" outlineLevel="0" collapsed="false">
      <c r="A105" s="1" t="s">
        <v>81</v>
      </c>
      <c r="B105" s="1" t="str">
        <f aca="false">IF(  OR(ISNUMBER(SEARCH("SMOTEENN",A105)),ISNUMBER(SEARCH("SMOTETomek",A105))),  "Hybrid",  IF(   AND(    OR(ISNUMBER(SEARCH("SMOTE",A105)),ISNUMBER(SEARCH("SVMSMOTE",A105)),ISNUMBER(SEARCH("RandomOverSampler",A105)),ISNUMBER(SEARCH("BorderlineSmote",A105))),    OR(ISNUMBER(SEARCH("RandomUnderSampler",A105)),ISNUMBER(SEARCH("ClusterCentroids",A105)),ISNUMBER(SEARCH("OneSidedSelection",A105)))   ),   "Over+Under",   IF(    OR(ISNUMBER(SEARCH("SMOTE",A105)),ISNUMBER(SEARCH("SVMSMOTE",A105)),ISNUMBER(SEARCH("RandomOverSampler",A105)),ISNUMBER(SEARCH("BorderlineSmote",A105))),    "Oversampling",    IF(     OR(ISNUMBER(SEARCH("RandomUnderSampler",A105)),ISNUMBER(SEARCH("ClusterCentroids",A105)),ISNUMBER(SEARCH("OneSidedSelection",A105))),     "Undersampler",     "Czysty"    )   )  ) )</f>
        <v>Oversampling</v>
      </c>
      <c r="C105" s="1" t="s">
        <v>14</v>
      </c>
      <c r="D105" s="1" t="n">
        <v>0.5365</v>
      </c>
      <c r="E105" s="1" t="n">
        <v>0.5567</v>
      </c>
      <c r="F105" s="1" t="n">
        <v>0.6757</v>
      </c>
      <c r="G105" s="1" t="n">
        <v>0.5159</v>
      </c>
      <c r="I105" s="1"/>
      <c r="J105" s="1"/>
      <c r="K105" s="1"/>
      <c r="L105" s="1"/>
      <c r="M105" s="1"/>
      <c r="N105" s="1"/>
    </row>
    <row r="106" customFormat="false" ht="13.8" hidden="false" customHeight="false" outlineLevel="0" collapsed="false">
      <c r="A106" s="1" t="s">
        <v>126</v>
      </c>
      <c r="B106" s="1" t="str">
        <f aca="false">IF(  OR(ISNUMBER(SEARCH("SMOTEENN",A106)),ISNUMBER(SEARCH("SMOTETomek",A106))),  "Hybrid",  IF(   AND(    OR(ISNUMBER(SEARCH("SMOTE",A106)),ISNUMBER(SEARCH("SVMSMOTE",A106)),ISNUMBER(SEARCH("RandomOverSampler",A106)),ISNUMBER(SEARCH("BorderlineSmote",A106))),    OR(ISNUMBER(SEARCH("RandomUnderSampler",A106)),ISNUMBER(SEARCH("ClusterCentroids",A106)),ISNUMBER(SEARCH("OneSidedSelection",A106)))   ),   "Over+Under",   IF(    OR(ISNUMBER(SEARCH("SMOTE",A106)),ISNUMBER(SEARCH("SVMSMOTE",A106)),ISNUMBER(SEARCH("RandomOverSampler",A106)),ISNUMBER(SEARCH("BorderlineSmote",A106))),    "Oversampling",    IF(     OR(ISNUMBER(SEARCH("RandomUnderSampler",A106)),ISNUMBER(SEARCH("ClusterCentroids",A106)),ISNUMBER(SEARCH("OneSidedSelection",A106))),     "Undersampler",     "Czysty"    )   )  ) )</f>
        <v>Oversampling</v>
      </c>
      <c r="C106" s="1" t="s">
        <v>14</v>
      </c>
      <c r="D106" s="1" t="n">
        <v>0.5302</v>
      </c>
      <c r="E106" s="1" t="n">
        <v>0.535</v>
      </c>
      <c r="F106" s="1" t="n">
        <v>0.6419</v>
      </c>
      <c r="G106" s="1" t="n">
        <v>0.5102</v>
      </c>
      <c r="I106" s="1"/>
      <c r="J106" s="1"/>
      <c r="K106" s="1"/>
      <c r="L106" s="1"/>
      <c r="M106" s="1"/>
      <c r="N106" s="1"/>
    </row>
    <row r="107" customFormat="false" ht="13.8" hidden="false" customHeight="false" outlineLevel="0" collapsed="false">
      <c r="A107" s="1" t="s">
        <v>26</v>
      </c>
      <c r="B107" s="1" t="str">
        <f aca="false">IF(  OR(ISNUMBER(SEARCH("SMOTEENN",A107)),ISNUMBER(SEARCH("SMOTETomek",A107))),  "Hybrid",  IF(   AND(    OR(ISNUMBER(SEARCH("SMOTE",A107)),ISNUMBER(SEARCH("SVMSMOTE",A107)),ISNUMBER(SEARCH("RandomOverSampler",A107)),ISNUMBER(SEARCH("BorderlineSmote",A107))),    OR(ISNUMBER(SEARCH("RandomUnderSampler",A107)),ISNUMBER(SEARCH("ClusterCentroids",A107)),ISNUMBER(SEARCH("OneSidedSelection",A107)))   ),   "Over+Under",   IF(    OR(ISNUMBER(SEARCH("SMOTE",A107)),ISNUMBER(SEARCH("SVMSMOTE",A107)),ISNUMBER(SEARCH("RandomOverSampler",A107)),ISNUMBER(SEARCH("BorderlineSmote",A107))),    "Oversampling",    IF(     OR(ISNUMBER(SEARCH("RandomUnderSampler",A107)),ISNUMBER(SEARCH("ClusterCentroids",A107)),ISNUMBER(SEARCH("OneSidedSelection",A107))),     "Undersampler",     "Czysty"    )   )  ) )</f>
        <v>Czysty</v>
      </c>
      <c r="C107" s="1" t="s">
        <v>14</v>
      </c>
      <c r="D107" s="1" t="n">
        <v>0.5556</v>
      </c>
      <c r="E107" s="1" t="n">
        <v>0.53</v>
      </c>
      <c r="F107" s="1" t="n">
        <v>0.6473</v>
      </c>
      <c r="G107" s="1" t="n">
        <v>0.5038</v>
      </c>
      <c r="I107" s="1"/>
      <c r="J107" s="1"/>
      <c r="K107" s="1"/>
      <c r="L107" s="1"/>
      <c r="M107" s="1"/>
      <c r="N107" s="1"/>
    </row>
    <row r="108" customFormat="false" ht="13.8" hidden="false" customHeight="false" outlineLevel="0" collapsed="false">
      <c r="A108" s="1" t="s">
        <v>84</v>
      </c>
      <c r="B108" s="1" t="str">
        <f aca="false">IF(  OR(ISNUMBER(SEARCH("SMOTEENN",A108)),ISNUMBER(SEARCH("SMOTETomek",A108))),  "Hybrid",  IF(   AND(    OR(ISNUMBER(SEARCH("SMOTE",A108)),ISNUMBER(SEARCH("SVMSMOTE",A108)),ISNUMBER(SEARCH("RandomOverSampler",A108)),ISNUMBER(SEARCH("BorderlineSmote",A108))),    OR(ISNUMBER(SEARCH("RandomUnderSampler",A108)),ISNUMBER(SEARCH("ClusterCentroids",A108)),ISNUMBER(SEARCH("OneSidedSelection",A108)))   ),   "Over+Under",   IF(    OR(ISNUMBER(SEARCH("SMOTE",A108)),ISNUMBER(SEARCH("SVMSMOTE",A108)),ISNUMBER(SEARCH("RandomOverSampler",A108)),ISNUMBER(SEARCH("BorderlineSmote",A108))),    "Oversampling",    IF(     OR(ISNUMBER(SEARCH("RandomUnderSampler",A108)),ISNUMBER(SEARCH("ClusterCentroids",A108)),ISNUMBER(SEARCH("OneSidedSelection",A108))),     "Undersampler",     "Czysty"    )   )  ) )</f>
        <v>Over+Under</v>
      </c>
      <c r="C108" s="1" t="s">
        <v>14</v>
      </c>
      <c r="D108" s="1" t="n">
        <v>0.5635</v>
      </c>
      <c r="E108" s="1" t="n">
        <v>0.5154</v>
      </c>
      <c r="F108" s="1" t="n">
        <v>0.5921</v>
      </c>
      <c r="G108" s="1" t="n">
        <v>0.5055</v>
      </c>
      <c r="I108" s="1"/>
      <c r="J108" s="1"/>
      <c r="K108" s="1"/>
      <c r="L108" s="1"/>
      <c r="M108" s="1"/>
      <c r="N108" s="1"/>
    </row>
    <row r="109" customFormat="false" ht="13.8" hidden="false" customHeight="false" outlineLevel="0" collapsed="false">
      <c r="A109" s="1" t="s">
        <v>124</v>
      </c>
      <c r="B109" s="1" t="str">
        <f aca="false">IF(  OR(ISNUMBER(SEARCH("SMOTEENN",A109)),ISNUMBER(SEARCH("SMOTETomek",A109))),  "Hybrid",  IF(   AND(    OR(ISNUMBER(SEARCH("SMOTE",A109)),ISNUMBER(SEARCH("SVMSMOTE",A109)),ISNUMBER(SEARCH("RandomOverSampler",A109)),ISNUMBER(SEARCH("BorderlineSmote",A109))),    OR(ISNUMBER(SEARCH("RandomUnderSampler",A109)),ISNUMBER(SEARCH("ClusterCentroids",A109)),ISNUMBER(SEARCH("OneSidedSelection",A109)))   ),   "Over+Under",   IF(    OR(ISNUMBER(SEARCH("SMOTE",A109)),ISNUMBER(SEARCH("SVMSMOTE",A109)),ISNUMBER(SEARCH("RandomOverSampler",A109)),ISNUMBER(SEARCH("BorderlineSmote",A109))),    "Oversampling",    IF(     OR(ISNUMBER(SEARCH("RandomUnderSampler",A109)),ISNUMBER(SEARCH("ClusterCentroids",A109)),ISNUMBER(SEARCH("OneSidedSelection",A109))),     "Undersampler",     "Czysty"    )   )  ) )</f>
        <v>Over+Under</v>
      </c>
      <c r="C109" s="1" t="s">
        <v>14</v>
      </c>
      <c r="D109" s="1" t="n">
        <v>0.5381</v>
      </c>
      <c r="E109" s="1" t="n">
        <v>0.509</v>
      </c>
      <c r="F109" s="1" t="n">
        <v>0.5135</v>
      </c>
      <c r="G109" s="1" t="n">
        <v>0.5464</v>
      </c>
      <c r="I109" s="1"/>
      <c r="J109" s="1"/>
      <c r="K109" s="1"/>
      <c r="L109" s="1"/>
      <c r="M109" s="1"/>
      <c r="N109" s="1"/>
    </row>
    <row r="110" customFormat="false" ht="13.8" hidden="false" customHeight="false" outlineLevel="0" collapsed="false">
      <c r="A110" s="1" t="s">
        <v>88</v>
      </c>
      <c r="B110" s="1" t="str">
        <f aca="false">IF(  OR(ISNUMBER(SEARCH("SMOTEENN",A110)),ISNUMBER(SEARCH("SMOTETomek",A110))),  "Hybrid",  IF(   AND(    OR(ISNUMBER(SEARCH("SMOTE",A110)),ISNUMBER(SEARCH("SVMSMOTE",A110)),ISNUMBER(SEARCH("RandomOverSampler",A110)),ISNUMBER(SEARCH("BorderlineSmote",A110))),    OR(ISNUMBER(SEARCH("RandomUnderSampler",A110)),ISNUMBER(SEARCH("ClusterCentroids",A110)),ISNUMBER(SEARCH("OneSidedSelection",A110)))   ),   "Over+Under",   IF(    OR(ISNUMBER(SEARCH("SMOTE",A110)),ISNUMBER(SEARCH("SVMSMOTE",A110)),ISNUMBER(SEARCH("RandomOverSampler",A110)),ISNUMBER(SEARCH("BorderlineSmote",A110))),    "Oversampling",    IF(     OR(ISNUMBER(SEARCH("RandomUnderSampler",A110)),ISNUMBER(SEARCH("ClusterCentroids",A110)),ISNUMBER(SEARCH("OneSidedSelection",A110))),     "Undersampler",     "Czysty"    )   )  ) )</f>
        <v>Over+Under</v>
      </c>
      <c r="C110" s="1" t="s">
        <v>14</v>
      </c>
      <c r="D110" s="1" t="n">
        <v>0.5476</v>
      </c>
      <c r="E110" s="1" t="n">
        <v>0.5061</v>
      </c>
      <c r="F110" s="1" t="n">
        <v>0.5788</v>
      </c>
      <c r="G110" s="1" t="n">
        <v>0.5189</v>
      </c>
      <c r="I110" s="1"/>
      <c r="J110" s="1"/>
      <c r="K110" s="1"/>
      <c r="L110" s="1"/>
      <c r="M110" s="1"/>
      <c r="N110" s="1"/>
    </row>
    <row r="111" customFormat="false" ht="13.8" hidden="false" customHeight="false" outlineLevel="0" collapsed="false">
      <c r="A111" s="1" t="s">
        <v>83</v>
      </c>
      <c r="B111" s="1" t="str">
        <f aca="false">IF(  OR(ISNUMBER(SEARCH("SMOTEENN",A111)),ISNUMBER(SEARCH("SMOTETomek",A111))),  "Hybrid",  IF(   AND(    OR(ISNUMBER(SEARCH("SMOTE",A111)),ISNUMBER(SEARCH("SVMSMOTE",A111)),ISNUMBER(SEARCH("RandomOverSampler",A111)),ISNUMBER(SEARCH("BorderlineSmote",A111))),    OR(ISNUMBER(SEARCH("RandomUnderSampler",A111)),ISNUMBER(SEARCH("ClusterCentroids",A111)),ISNUMBER(SEARCH("OneSidedSelection",A111)))   ),   "Over+Under",   IF(    OR(ISNUMBER(SEARCH("SMOTE",A111)),ISNUMBER(SEARCH("SVMSMOTE",A111)),ISNUMBER(SEARCH("RandomOverSampler",A111)),ISNUMBER(SEARCH("BorderlineSmote",A111))),    "Oversampling",    IF(     OR(ISNUMBER(SEARCH("RandomUnderSampler",A111)),ISNUMBER(SEARCH("ClusterCentroids",A111)),ISNUMBER(SEARCH("OneSidedSelection",A111))),     "Undersampler",     "Czysty"    )   )  ) )</f>
        <v>Over+Under</v>
      </c>
      <c r="C111" s="1" t="s">
        <v>14</v>
      </c>
      <c r="D111" s="1" t="n">
        <v>0.4651</v>
      </c>
      <c r="E111" s="1" t="n">
        <v>0.4678</v>
      </c>
      <c r="F111" s="1" t="n">
        <v>0.4862</v>
      </c>
      <c r="G111" s="1" t="n">
        <v>0.4946</v>
      </c>
      <c r="I111" s="1"/>
      <c r="J111" s="1"/>
      <c r="K111" s="1"/>
      <c r="L111" s="1"/>
      <c r="M111" s="1"/>
      <c r="N111" s="1"/>
    </row>
    <row r="112" customFormat="false" ht="13.8" hidden="false" customHeight="false" outlineLevel="0" collapsed="false">
      <c r="A112" s="1" t="s">
        <v>125</v>
      </c>
      <c r="B112" s="1" t="str">
        <f aca="false">IF(  OR(ISNUMBER(SEARCH("SMOTEENN",A112)),ISNUMBER(SEARCH("SMOTETomek",A112))),  "Hybrid",  IF(   AND(    OR(ISNUMBER(SEARCH("SMOTE",A112)),ISNUMBER(SEARCH("SVMSMOTE",A112)),ISNUMBER(SEARCH("RandomOverSampler",A112)),ISNUMBER(SEARCH("BorderlineSmote",A112))),    OR(ISNUMBER(SEARCH("RandomUnderSampler",A112)),ISNUMBER(SEARCH("ClusterCentroids",A112)),ISNUMBER(SEARCH("OneSidedSelection",A112)))   ),   "Over+Under",   IF(    OR(ISNUMBER(SEARCH("SMOTE",A112)),ISNUMBER(SEARCH("SVMSMOTE",A112)),ISNUMBER(SEARCH("RandomOverSampler",A112)),ISNUMBER(SEARCH("BorderlineSmote",A112))),    "Oversampling",    IF(     OR(ISNUMBER(SEARCH("RandomUnderSampler",A112)),ISNUMBER(SEARCH("ClusterCentroids",A112)),ISNUMBER(SEARCH("OneSidedSelection",A112))),     "Undersampler",     "Czysty"    )   )  ) )</f>
        <v>Over+Under</v>
      </c>
      <c r="C112" s="1" t="s">
        <v>14</v>
      </c>
      <c r="D112" s="1" t="n">
        <v>0.454</v>
      </c>
      <c r="E112" s="1" t="n">
        <v>0.4501</v>
      </c>
      <c r="F112" s="1" t="n">
        <v>0.4689</v>
      </c>
      <c r="G112" s="1" t="n">
        <v>0.5292</v>
      </c>
      <c r="I112" s="1"/>
      <c r="J112" s="1"/>
      <c r="K112" s="1"/>
      <c r="L112" s="1"/>
      <c r="M112" s="1"/>
      <c r="N112" s="1"/>
    </row>
    <row r="113" customFormat="false" ht="13.8" hidden="false" customHeight="false" outlineLevel="0" collapsed="false">
      <c r="A113" s="1" t="s">
        <v>85</v>
      </c>
      <c r="B113" s="1" t="str">
        <f aca="false">IF(  OR(ISNUMBER(SEARCH("SMOTEENN",A113)),ISNUMBER(SEARCH("SMOTETomek",A113))),  "Hybrid",  IF(   AND(    OR(ISNUMBER(SEARCH("SMOTE",A113)),ISNUMBER(SEARCH("SVMSMOTE",A113)),ISNUMBER(SEARCH("RandomOverSampler",A113)),ISNUMBER(SEARCH("BorderlineSmote",A113))),    OR(ISNUMBER(SEARCH("RandomUnderSampler",A113)),ISNUMBER(SEARCH("ClusterCentroids",A113)),ISNUMBER(SEARCH("OneSidedSelection",A113)))   ),   "Over+Under",   IF(    OR(ISNUMBER(SEARCH("SMOTE",A113)),ISNUMBER(SEARCH("SVMSMOTE",A113)),ISNUMBER(SEARCH("RandomOverSampler",A113)),ISNUMBER(SEARCH("BorderlineSmote",A113))),    "Oversampling",    IF(     OR(ISNUMBER(SEARCH("RandomUnderSampler",A113)),ISNUMBER(SEARCH("ClusterCentroids",A113)),ISNUMBER(SEARCH("OneSidedSelection",A113))),     "Undersampler",     "Czysty"    )   )  ) )</f>
        <v>Over+Under</v>
      </c>
      <c r="C113" s="1" t="s">
        <v>14</v>
      </c>
      <c r="D113" s="1" t="n">
        <v>0.4381</v>
      </c>
      <c r="E113" s="1" t="n">
        <v>0.4409</v>
      </c>
      <c r="F113" s="1" t="n">
        <v>0.453</v>
      </c>
      <c r="G113" s="1" t="n">
        <v>0.5054</v>
      </c>
      <c r="I113" s="1"/>
      <c r="J113" s="1"/>
      <c r="K113" s="1"/>
      <c r="L113" s="1"/>
      <c r="M113" s="1"/>
      <c r="N113" s="1"/>
    </row>
    <row r="114" customFormat="false" ht="13.8" hidden="false" customHeight="false" outlineLevel="0" collapsed="false">
      <c r="A114" s="1" t="s">
        <v>82</v>
      </c>
      <c r="B114" s="1" t="str">
        <f aca="false">IF(  OR(ISNUMBER(SEARCH("SMOTEENN",A114)),ISNUMBER(SEARCH("SMOTETomek",A114))),  "Hybrid",  IF(   AND(    OR(ISNUMBER(SEARCH("SMOTE",A114)),ISNUMBER(SEARCH("SVMSMOTE",A114)),ISNUMBER(SEARCH("RandomOverSampler",A114)),ISNUMBER(SEARCH("BorderlineSmote",A114))),    OR(ISNUMBER(SEARCH("RandomUnderSampler",A114)),ISNUMBER(SEARCH("ClusterCentroids",A114)),ISNUMBER(SEARCH("OneSidedSelection",A114)))   ),   "Over+Under",   IF(    OR(ISNUMBER(SEARCH("SMOTE",A114)),ISNUMBER(SEARCH("SVMSMOTE",A114)),ISNUMBER(SEARCH("RandomOverSampler",A114)),ISNUMBER(SEARCH("BorderlineSmote",A114))),    "Oversampling",    IF(     OR(ISNUMBER(SEARCH("RandomUnderSampler",A114)),ISNUMBER(SEARCH("ClusterCentroids",A114)),ISNUMBER(SEARCH("OneSidedSelection",A114))),     "Undersampler",     "Czysty"    )   )  ) )</f>
        <v>Over+Under</v>
      </c>
      <c r="C114" s="1" t="s">
        <v>14</v>
      </c>
      <c r="D114" s="1" t="n">
        <v>0.4571</v>
      </c>
      <c r="E114" s="1" t="n">
        <v>0.4306</v>
      </c>
      <c r="F114" s="1" t="n">
        <v>0.451</v>
      </c>
      <c r="G114" s="1" t="n">
        <v>0.5018</v>
      </c>
      <c r="I114" s="1"/>
      <c r="J114" s="1"/>
      <c r="K114" s="1"/>
      <c r="L114" s="1"/>
      <c r="M114" s="1"/>
      <c r="N114" s="1"/>
    </row>
    <row r="115" customFormat="false" ht="13.8" hidden="false" customHeight="false" outlineLevel="0" collapsed="false">
      <c r="A115" s="1" t="s">
        <v>86</v>
      </c>
      <c r="B115" s="1" t="str">
        <f aca="false">IF(  OR(ISNUMBER(SEARCH("SMOTEENN",A115)),ISNUMBER(SEARCH("SMOTETomek",A115))),  "Hybrid",  IF(   AND(    OR(ISNUMBER(SEARCH("SMOTE",A115)),ISNUMBER(SEARCH("SVMSMOTE",A115)),ISNUMBER(SEARCH("RandomOverSampler",A115)),ISNUMBER(SEARCH("BorderlineSmote",A115))),    OR(ISNUMBER(SEARCH("RandomUnderSampler",A115)),ISNUMBER(SEARCH("ClusterCentroids",A115)),ISNUMBER(SEARCH("OneSidedSelection",A115)))   ),   "Over+Under",   IF(    OR(ISNUMBER(SEARCH("SMOTE",A115)),ISNUMBER(SEARCH("SVMSMOTE",A115)),ISNUMBER(SEARCH("RandomOverSampler",A115)),ISNUMBER(SEARCH("BorderlineSmote",A115))),    "Oversampling",    IF(     OR(ISNUMBER(SEARCH("RandomUnderSampler",A115)),ISNUMBER(SEARCH("ClusterCentroids",A115)),ISNUMBER(SEARCH("OneSidedSelection",A115))),     "Undersampler",     "Czysty"    )   )  ) )</f>
        <v>Over+Under</v>
      </c>
      <c r="C115" s="1" t="s">
        <v>14</v>
      </c>
      <c r="D115" s="1" t="n">
        <v>0.4349</v>
      </c>
      <c r="E115" s="1" t="n">
        <v>0.4163</v>
      </c>
      <c r="F115" s="1" t="n">
        <v>0.4214</v>
      </c>
      <c r="G115" s="1" t="n">
        <v>0.4568</v>
      </c>
      <c r="I115" s="1"/>
      <c r="J115" s="1"/>
      <c r="K115" s="1"/>
      <c r="L115" s="1"/>
      <c r="M115" s="1"/>
      <c r="N115" s="1"/>
    </row>
    <row r="116" customFormat="false" ht="13.8" hidden="false" customHeight="false" outlineLevel="0" collapsed="false">
      <c r="A116" s="1" t="s">
        <v>87</v>
      </c>
      <c r="B116" s="1" t="str">
        <f aca="false">IF(  OR(ISNUMBER(SEARCH("SMOTEENN",A116)),ISNUMBER(SEARCH("SMOTETomek",A116))),  "Hybrid",  IF(   AND(    OR(ISNUMBER(SEARCH("SMOTE",A116)),ISNUMBER(SEARCH("SVMSMOTE",A116)),ISNUMBER(SEARCH("RandomOverSampler",A116)),ISNUMBER(SEARCH("BorderlineSmote",A116))),    OR(ISNUMBER(SEARCH("RandomUnderSampler",A116)),ISNUMBER(SEARCH("ClusterCentroids",A116)),ISNUMBER(SEARCH("OneSidedSelection",A116)))   ),   "Over+Under",   IF(    OR(ISNUMBER(SEARCH("SMOTE",A116)),ISNUMBER(SEARCH("SVMSMOTE",A116)),ISNUMBER(SEARCH("RandomOverSampler",A116)),ISNUMBER(SEARCH("BorderlineSmote",A116))),    "Oversampling",    IF(     OR(ISNUMBER(SEARCH("RandomUnderSampler",A116)),ISNUMBER(SEARCH("ClusterCentroids",A116)),ISNUMBER(SEARCH("OneSidedSelection",A116))),     "Undersampler",     "Czysty"    )   )  ) )</f>
        <v>Hybrid</v>
      </c>
      <c r="C116" s="1" t="s">
        <v>14</v>
      </c>
      <c r="D116" s="1" t="n">
        <v>0.4159</v>
      </c>
      <c r="E116" s="1" t="n">
        <v>0.3921</v>
      </c>
      <c r="F116" s="1" t="n">
        <v>0.4851</v>
      </c>
      <c r="G116" s="1" t="n">
        <v>0.5086</v>
      </c>
      <c r="I116" s="1"/>
      <c r="J116" s="1"/>
      <c r="K116" s="1"/>
      <c r="L116" s="1"/>
      <c r="M116" s="1"/>
      <c r="N116" s="1"/>
    </row>
    <row r="117" customFormat="false" ht="13.8" hidden="false" customHeight="false" outlineLevel="0" collapsed="false">
      <c r="A117" s="1" t="s">
        <v>79</v>
      </c>
      <c r="B117" s="1" t="str">
        <f aca="false">IF(  OR(ISNUMBER(SEARCH("SMOTEENN",A117)),ISNUMBER(SEARCH("SMOTETomek",A117))),  "Hybrid",  IF(   AND(    OR(ISNUMBER(SEARCH("SMOTE",A117)),ISNUMBER(SEARCH("SVMSMOTE",A117)),ISNUMBER(SEARCH("RandomOverSampler",A117)),ISNUMBER(SEARCH("BorderlineSmote",A117))),    OR(ISNUMBER(SEARCH("RandomUnderSampler",A117)),ISNUMBER(SEARCH("ClusterCentroids",A117)),ISNUMBER(SEARCH("OneSidedSelection",A117)))   ),   "Over+Under",   IF(    OR(ISNUMBER(SEARCH("SMOTE",A117)),ISNUMBER(SEARCH("SVMSMOTE",A117)),ISNUMBER(SEARCH("RandomOverSampler",A117)),ISNUMBER(SEARCH("BorderlineSmote",A117))),    "Oversampling",    IF(     OR(ISNUMBER(SEARCH("RandomUnderSampler",A117)),ISNUMBER(SEARCH("ClusterCentroids",A117)),ISNUMBER(SEARCH("OneSidedSelection",A117))),     "Undersampler",     "Czysty"    )   )  ) )</f>
        <v>Oversampling</v>
      </c>
      <c r="C117" s="1" t="s">
        <v>74</v>
      </c>
      <c r="D117" s="1" t="n">
        <v>0.5746</v>
      </c>
      <c r="E117" s="1" t="n">
        <v>0.603</v>
      </c>
      <c r="F117" s="1" t="n">
        <v>0.6915</v>
      </c>
      <c r="G117" s="1" t="n">
        <v>0.5674</v>
      </c>
      <c r="I117" s="1"/>
      <c r="J117" s="1"/>
      <c r="K117" s="1"/>
      <c r="L117" s="1"/>
      <c r="M117" s="1"/>
      <c r="N117" s="1"/>
    </row>
    <row r="118" customFormat="false" ht="13.8" hidden="false" customHeight="false" outlineLevel="0" collapsed="false">
      <c r="A118" s="1" t="s">
        <v>126</v>
      </c>
      <c r="B118" s="1" t="str">
        <f aca="false">IF(  OR(ISNUMBER(SEARCH("SMOTEENN",A118)),ISNUMBER(SEARCH("SMOTETomek",A118))),  "Hybrid",  IF(   AND(    OR(ISNUMBER(SEARCH("SMOTE",A118)),ISNUMBER(SEARCH("SVMSMOTE",A118)),ISNUMBER(SEARCH("RandomOverSampler",A118)),ISNUMBER(SEARCH("BorderlineSmote",A118))),    OR(ISNUMBER(SEARCH("RandomUnderSampler",A118)),ISNUMBER(SEARCH("ClusterCentroids",A118)),ISNUMBER(SEARCH("OneSidedSelection",A118)))   ),   "Over+Under",   IF(    OR(ISNUMBER(SEARCH("SMOTE",A118)),ISNUMBER(SEARCH("SVMSMOTE",A118)),ISNUMBER(SEARCH("RandomOverSampler",A118)),ISNUMBER(SEARCH("BorderlineSmote",A118))),    "Oversampling",    IF(     OR(ISNUMBER(SEARCH("RandomUnderSampler",A118)),ISNUMBER(SEARCH("ClusterCentroids",A118)),ISNUMBER(SEARCH("OneSidedSelection",A118))),     "Undersampler",     "Czysty"    )   )  ) )</f>
        <v>Oversampling</v>
      </c>
      <c r="C118" s="1" t="s">
        <v>74</v>
      </c>
      <c r="D118" s="1" t="n">
        <v>0.581</v>
      </c>
      <c r="E118" s="1" t="n">
        <v>0.5875</v>
      </c>
      <c r="F118" s="1" t="n">
        <v>0.702</v>
      </c>
      <c r="G118" s="1" t="n">
        <v>0.5513</v>
      </c>
      <c r="I118" s="1"/>
      <c r="J118" s="1"/>
      <c r="K118" s="1"/>
      <c r="L118" s="1"/>
      <c r="M118" s="1"/>
      <c r="N118" s="1"/>
    </row>
    <row r="119" customFormat="false" ht="13.8" hidden="false" customHeight="false" outlineLevel="0" collapsed="false">
      <c r="A119" s="1" t="s">
        <v>80</v>
      </c>
      <c r="B119" s="1" t="str">
        <f aca="false">IF(  OR(ISNUMBER(SEARCH("SMOTEENN",A119)),ISNUMBER(SEARCH("SMOTETomek",A119))),  "Hybrid",  IF(   AND(    OR(ISNUMBER(SEARCH("SMOTE",A119)),ISNUMBER(SEARCH("SVMSMOTE",A119)),ISNUMBER(SEARCH("RandomOverSampler",A119)),ISNUMBER(SEARCH("BorderlineSmote",A119))),    OR(ISNUMBER(SEARCH("RandomUnderSampler",A119)),ISNUMBER(SEARCH("ClusterCentroids",A119)),ISNUMBER(SEARCH("OneSidedSelection",A119)))   ),   "Over+Under",   IF(    OR(ISNUMBER(SEARCH("SMOTE",A119)),ISNUMBER(SEARCH("SVMSMOTE",A119)),ISNUMBER(SEARCH("RandomOverSampler",A119)),ISNUMBER(SEARCH("BorderlineSmote",A119))),    "Oversampling",    IF(     OR(ISNUMBER(SEARCH("RandomUnderSampler",A119)),ISNUMBER(SEARCH("ClusterCentroids",A119)),ISNUMBER(SEARCH("OneSidedSelection",A119))),     "Undersampler",     "Czysty"    )   )  ) )</f>
        <v>Hybrid</v>
      </c>
      <c r="C119" s="1" t="s">
        <v>74</v>
      </c>
      <c r="D119" s="1" t="n">
        <v>0.5476</v>
      </c>
      <c r="E119" s="1" t="n">
        <v>0.5793</v>
      </c>
      <c r="F119" s="1" t="n">
        <v>0.6469</v>
      </c>
      <c r="G119" s="1" t="n">
        <v>0.5548</v>
      </c>
      <c r="I119" s="1"/>
      <c r="J119" s="1"/>
      <c r="K119" s="1"/>
      <c r="L119" s="1"/>
      <c r="M119" s="1"/>
      <c r="N119" s="1"/>
    </row>
    <row r="120" customFormat="false" ht="13.8" hidden="false" customHeight="false" outlineLevel="0" collapsed="false">
      <c r="A120" s="1" t="s">
        <v>123</v>
      </c>
      <c r="B120" s="1" t="str">
        <f aca="false">IF(  OR(ISNUMBER(SEARCH("SMOTEENN",A120)),ISNUMBER(SEARCH("SMOTETomek",A120))),  "Hybrid",  IF(   AND(    OR(ISNUMBER(SEARCH("SMOTE",A120)),ISNUMBER(SEARCH("SVMSMOTE",A120)),ISNUMBER(SEARCH("RandomOverSampler",A120)),ISNUMBER(SEARCH("BorderlineSmote",A120))),    OR(ISNUMBER(SEARCH("RandomUnderSampler",A120)),ISNUMBER(SEARCH("ClusterCentroids",A120)),ISNUMBER(SEARCH("OneSidedSelection",A120)))   ),   "Over+Under",   IF(    OR(ISNUMBER(SEARCH("SMOTE",A120)),ISNUMBER(SEARCH("SVMSMOTE",A120)),ISNUMBER(SEARCH("RandomOverSampler",A120)),ISNUMBER(SEARCH("BorderlineSmote",A120))),    "Oversampling",    IF(     OR(ISNUMBER(SEARCH("RandomUnderSampler",A120)),ISNUMBER(SEARCH("ClusterCentroids",A120)),ISNUMBER(SEARCH("OneSidedSelection",A120))),     "Undersampler",     "Czysty"    )   )  ) )</f>
        <v>Oversampling</v>
      </c>
      <c r="C120" s="1" t="s">
        <v>74</v>
      </c>
      <c r="D120" s="1" t="n">
        <v>0.5698</v>
      </c>
      <c r="E120" s="1" t="n">
        <v>0.5735</v>
      </c>
      <c r="F120" s="1" t="n">
        <v>0.674</v>
      </c>
      <c r="G120" s="1" t="n">
        <v>0.5417</v>
      </c>
      <c r="I120" s="1"/>
      <c r="J120" s="1"/>
      <c r="K120" s="1"/>
      <c r="L120" s="1"/>
      <c r="M120" s="1"/>
      <c r="N120" s="1"/>
    </row>
    <row r="121" customFormat="false" ht="13.8" hidden="false" customHeight="false" outlineLevel="0" collapsed="false">
      <c r="A121" s="1" t="s">
        <v>26</v>
      </c>
      <c r="B121" s="1" t="str">
        <f aca="false">IF(  OR(ISNUMBER(SEARCH("SMOTEENN",A121)),ISNUMBER(SEARCH("SMOTETomek",A121))),  "Hybrid",  IF(   AND(    OR(ISNUMBER(SEARCH("SMOTE",A121)),ISNUMBER(SEARCH("SVMSMOTE",A121)),ISNUMBER(SEARCH("RandomOverSampler",A121)),ISNUMBER(SEARCH("BorderlineSmote",A121))),    OR(ISNUMBER(SEARCH("RandomUnderSampler",A121)),ISNUMBER(SEARCH("ClusterCentroids",A121)),ISNUMBER(SEARCH("OneSidedSelection",A121)))   ),   "Over+Under",   IF(    OR(ISNUMBER(SEARCH("SMOTE",A121)),ISNUMBER(SEARCH("SVMSMOTE",A121)),ISNUMBER(SEARCH("RandomOverSampler",A121)),ISNUMBER(SEARCH("BorderlineSmote",A121))),    "Oversampling",    IF(     OR(ISNUMBER(SEARCH("RandomUnderSampler",A121)),ISNUMBER(SEARCH("ClusterCentroids",A121)),ISNUMBER(SEARCH("OneSidedSelection",A121))),     "Undersampler",     "Czysty"    )   )  ) )</f>
        <v>Czysty</v>
      </c>
      <c r="C121" s="1" t="s">
        <v>74</v>
      </c>
      <c r="D121" s="1" t="n">
        <v>0.6</v>
      </c>
      <c r="E121" s="1" t="n">
        <v>0.573</v>
      </c>
      <c r="F121" s="1" t="n">
        <v>0.6974</v>
      </c>
      <c r="G121" s="1" t="n">
        <v>0.5438</v>
      </c>
      <c r="I121" s="1"/>
      <c r="J121" s="1"/>
      <c r="K121" s="1"/>
      <c r="L121" s="1"/>
      <c r="M121" s="1"/>
      <c r="N121" s="1"/>
    </row>
    <row r="122" customFormat="false" ht="13.8" hidden="false" customHeight="false" outlineLevel="0" collapsed="false">
      <c r="A122" s="1" t="s">
        <v>81</v>
      </c>
      <c r="B122" s="1" t="str">
        <f aca="false">IF(  OR(ISNUMBER(SEARCH("SMOTEENN",A122)),ISNUMBER(SEARCH("SMOTETomek",A122))),  "Hybrid",  IF(   AND(    OR(ISNUMBER(SEARCH("SMOTE",A122)),ISNUMBER(SEARCH("SVMSMOTE",A122)),ISNUMBER(SEARCH("RandomOverSampler",A122)),ISNUMBER(SEARCH("BorderlineSmote",A122))),    OR(ISNUMBER(SEARCH("RandomUnderSampler",A122)),ISNUMBER(SEARCH("ClusterCentroids",A122)),ISNUMBER(SEARCH("OneSidedSelection",A122)))   ),   "Over+Under",   IF(    OR(ISNUMBER(SEARCH("SMOTE",A122)),ISNUMBER(SEARCH("SVMSMOTE",A122)),ISNUMBER(SEARCH("RandomOverSampler",A122)),ISNUMBER(SEARCH("BorderlineSmote",A122))),    "Oversampling",    IF(     OR(ISNUMBER(SEARCH("RandomUnderSampler",A122)),ISNUMBER(SEARCH("ClusterCentroids",A122)),ISNUMBER(SEARCH("OneSidedSelection",A122))),     "Undersampler",     "Czysty"    )   )  ) )</f>
        <v>Oversampling</v>
      </c>
      <c r="C122" s="1" t="s">
        <v>74</v>
      </c>
      <c r="D122" s="1" t="n">
        <v>0.581</v>
      </c>
      <c r="E122" s="1" t="n">
        <v>0.5616</v>
      </c>
      <c r="F122" s="1" t="n">
        <v>0.6612</v>
      </c>
      <c r="G122" s="1" t="n">
        <v>0.5302</v>
      </c>
      <c r="I122" s="1"/>
      <c r="J122" s="1"/>
      <c r="K122" s="1"/>
      <c r="L122" s="1"/>
      <c r="M122" s="1"/>
      <c r="N122" s="1"/>
    </row>
    <row r="123" customFormat="false" ht="13.8" hidden="false" customHeight="false" outlineLevel="0" collapsed="false">
      <c r="A123" s="1" t="s">
        <v>88</v>
      </c>
      <c r="B123" s="1" t="str">
        <f aca="false">IF(  OR(ISNUMBER(SEARCH("SMOTEENN",A123)),ISNUMBER(SEARCH("SMOTETomek",A123))),  "Hybrid",  IF(   AND(    OR(ISNUMBER(SEARCH("SMOTE",A123)),ISNUMBER(SEARCH("SVMSMOTE",A123)),ISNUMBER(SEARCH("RandomOverSampler",A123)),ISNUMBER(SEARCH("BorderlineSmote",A123))),    OR(ISNUMBER(SEARCH("RandomUnderSampler",A123)),ISNUMBER(SEARCH("ClusterCentroids",A123)),ISNUMBER(SEARCH("OneSidedSelection",A123)))   ),   "Over+Under",   IF(    OR(ISNUMBER(SEARCH("SMOTE",A123)),ISNUMBER(SEARCH("SVMSMOTE",A123)),ISNUMBER(SEARCH("RandomOverSampler",A123)),ISNUMBER(SEARCH("BorderlineSmote",A123))),    "Oversampling",    IF(     OR(ISNUMBER(SEARCH("RandomUnderSampler",A123)),ISNUMBER(SEARCH("ClusterCentroids",A123)),ISNUMBER(SEARCH("OneSidedSelection",A123))),     "Undersampler",     "Czysty"    )   )  ) )</f>
        <v>Over+Under</v>
      </c>
      <c r="C123" s="1" t="s">
        <v>74</v>
      </c>
      <c r="D123" s="1" t="n">
        <v>0.5476</v>
      </c>
      <c r="E123" s="1" t="n">
        <v>0.5402</v>
      </c>
      <c r="F123" s="1" t="n">
        <v>0.6507</v>
      </c>
      <c r="G123" s="1" t="n">
        <v>0.5232</v>
      </c>
      <c r="I123" s="1"/>
      <c r="J123" s="1"/>
      <c r="K123" s="1"/>
      <c r="L123" s="1"/>
      <c r="M123" s="1"/>
      <c r="N123" s="1"/>
    </row>
    <row r="124" customFormat="false" ht="13.8" hidden="false" customHeight="false" outlineLevel="0" collapsed="false">
      <c r="A124" s="1" t="s">
        <v>84</v>
      </c>
      <c r="B124" s="1" t="str">
        <f aca="false">IF(  OR(ISNUMBER(SEARCH("SMOTEENN",A124)),ISNUMBER(SEARCH("SMOTETomek",A124))),  "Hybrid",  IF(   AND(    OR(ISNUMBER(SEARCH("SMOTE",A124)),ISNUMBER(SEARCH("SVMSMOTE",A124)),ISNUMBER(SEARCH("RandomOverSampler",A124)),ISNUMBER(SEARCH("BorderlineSmote",A124))),    OR(ISNUMBER(SEARCH("RandomUnderSampler",A124)),ISNUMBER(SEARCH("ClusterCentroids",A124)),ISNUMBER(SEARCH("OneSidedSelection",A124)))   ),   "Over+Under",   IF(    OR(ISNUMBER(SEARCH("SMOTE",A124)),ISNUMBER(SEARCH("SVMSMOTE",A124)),ISNUMBER(SEARCH("RandomOverSampler",A124)),ISNUMBER(SEARCH("BorderlineSmote",A124))),    "Oversampling",    IF(     OR(ISNUMBER(SEARCH("RandomUnderSampler",A124)),ISNUMBER(SEARCH("ClusterCentroids",A124)),ISNUMBER(SEARCH("OneSidedSelection",A124))),     "Undersampler",     "Czysty"    )   )  ) )</f>
        <v>Over+Under</v>
      </c>
      <c r="C124" s="1" t="s">
        <v>74</v>
      </c>
      <c r="D124" s="1" t="n">
        <v>0.5619</v>
      </c>
      <c r="E124" s="1" t="n">
        <v>0.5268</v>
      </c>
      <c r="F124" s="1" t="n">
        <v>0.6616</v>
      </c>
      <c r="G124" s="1" t="n">
        <v>0.5055</v>
      </c>
      <c r="I124" s="1"/>
      <c r="J124" s="1"/>
      <c r="K124" s="1"/>
      <c r="L124" s="1"/>
      <c r="M124" s="1"/>
      <c r="N124" s="1"/>
    </row>
    <row r="125" customFormat="false" ht="13.8" hidden="false" customHeight="false" outlineLevel="0" collapsed="false">
      <c r="A125" s="1" t="s">
        <v>124</v>
      </c>
      <c r="B125" s="1" t="str">
        <f aca="false">IF(  OR(ISNUMBER(SEARCH("SMOTEENN",A125)),ISNUMBER(SEARCH("SMOTETomek",A125))),  "Hybrid",  IF(   AND(    OR(ISNUMBER(SEARCH("SMOTE",A125)),ISNUMBER(SEARCH("SVMSMOTE",A125)),ISNUMBER(SEARCH("RandomOverSampler",A125)),ISNUMBER(SEARCH("BorderlineSmote",A125))),    OR(ISNUMBER(SEARCH("RandomUnderSampler",A125)),ISNUMBER(SEARCH("ClusterCentroids",A125)),ISNUMBER(SEARCH("OneSidedSelection",A125)))   ),   "Over+Under",   IF(    OR(ISNUMBER(SEARCH("SMOTE",A125)),ISNUMBER(SEARCH("SVMSMOTE",A125)),ISNUMBER(SEARCH("RandomOverSampler",A125)),ISNUMBER(SEARCH("BorderlineSmote",A125))),    "Oversampling",    IF(     OR(ISNUMBER(SEARCH("RandomUnderSampler",A125)),ISNUMBER(SEARCH("ClusterCentroids",A125)),ISNUMBER(SEARCH("OneSidedSelection",A125))),     "Undersampler",     "Czysty"    )   )  ) )</f>
        <v>Over+Under</v>
      </c>
      <c r="C125" s="1" t="s">
        <v>74</v>
      </c>
      <c r="D125" s="1" t="n">
        <v>0.5159</v>
      </c>
      <c r="E125" s="1" t="n">
        <v>0.4942</v>
      </c>
      <c r="F125" s="1" t="n">
        <v>0.4835</v>
      </c>
      <c r="G125" s="1" t="n">
        <v>0.5623</v>
      </c>
      <c r="I125" s="1"/>
      <c r="J125" s="1"/>
      <c r="K125" s="1"/>
      <c r="L125" s="1"/>
      <c r="M125" s="1"/>
      <c r="N125" s="1"/>
    </row>
    <row r="126" customFormat="false" ht="13.8" hidden="false" customHeight="false" outlineLevel="0" collapsed="false">
      <c r="A126" s="1" t="s">
        <v>83</v>
      </c>
      <c r="B126" s="1" t="str">
        <f aca="false">IF(  OR(ISNUMBER(SEARCH("SMOTEENN",A126)),ISNUMBER(SEARCH("SMOTETomek",A126))),  "Hybrid",  IF(   AND(    OR(ISNUMBER(SEARCH("SMOTE",A126)),ISNUMBER(SEARCH("SVMSMOTE",A126)),ISNUMBER(SEARCH("RandomOverSampler",A126)),ISNUMBER(SEARCH("BorderlineSmote",A126))),    OR(ISNUMBER(SEARCH("RandomUnderSampler",A126)),ISNUMBER(SEARCH("ClusterCentroids",A126)),ISNUMBER(SEARCH("OneSidedSelection",A126)))   ),   "Over+Under",   IF(    OR(ISNUMBER(SEARCH("SMOTE",A126)),ISNUMBER(SEARCH("SVMSMOTE",A126)),ISNUMBER(SEARCH("RandomOverSampler",A126)),ISNUMBER(SEARCH("BorderlineSmote",A126))),    "Oversampling",    IF(     OR(ISNUMBER(SEARCH("RandomUnderSampler",A126)),ISNUMBER(SEARCH("ClusterCentroids",A126)),ISNUMBER(SEARCH("OneSidedSelection",A126))),     "Undersampler",     "Czysty"    )   )  ) )</f>
        <v>Over+Under</v>
      </c>
      <c r="C126" s="1" t="s">
        <v>74</v>
      </c>
      <c r="D126" s="1" t="n">
        <v>0.4857</v>
      </c>
      <c r="E126" s="1" t="n">
        <v>0.4835</v>
      </c>
      <c r="F126" s="1" t="n">
        <v>0.4922</v>
      </c>
      <c r="G126" s="1" t="n">
        <v>0.509</v>
      </c>
      <c r="I126" s="1"/>
      <c r="J126" s="1"/>
      <c r="K126" s="1"/>
      <c r="L126" s="1"/>
      <c r="M126" s="1"/>
      <c r="N126" s="1"/>
    </row>
    <row r="127" customFormat="false" ht="13.8" hidden="false" customHeight="false" outlineLevel="0" collapsed="false">
      <c r="A127" s="1" t="s">
        <v>86</v>
      </c>
      <c r="B127" s="1" t="str">
        <f aca="false">IF(  OR(ISNUMBER(SEARCH("SMOTEENN",A127)),ISNUMBER(SEARCH("SMOTETomek",A127))),  "Hybrid",  IF(   AND(    OR(ISNUMBER(SEARCH("SMOTE",A127)),ISNUMBER(SEARCH("SVMSMOTE",A127)),ISNUMBER(SEARCH("RandomOverSampler",A127)),ISNUMBER(SEARCH("BorderlineSmote",A127))),    OR(ISNUMBER(SEARCH("RandomUnderSampler",A127)),ISNUMBER(SEARCH("ClusterCentroids",A127)),ISNUMBER(SEARCH("OneSidedSelection",A127)))   ),   "Over+Under",   IF(    OR(ISNUMBER(SEARCH("SMOTE",A127)),ISNUMBER(SEARCH("SVMSMOTE",A127)),ISNUMBER(SEARCH("RandomOverSampler",A127)),ISNUMBER(SEARCH("BorderlineSmote",A127))),    "Oversampling",    IF(     OR(ISNUMBER(SEARCH("RandomUnderSampler",A127)),ISNUMBER(SEARCH("ClusterCentroids",A127)),ISNUMBER(SEARCH("OneSidedSelection",A127))),     "Undersampler",     "Czysty"    )   )  ) )</f>
        <v>Over+Under</v>
      </c>
      <c r="C127" s="1" t="s">
        <v>74</v>
      </c>
      <c r="D127" s="1" t="n">
        <v>0.4746</v>
      </c>
      <c r="E127" s="1" t="n">
        <v>0.4633</v>
      </c>
      <c r="F127" s="1" t="n">
        <v>0.4651</v>
      </c>
      <c r="G127" s="1" t="n">
        <v>0.5155</v>
      </c>
      <c r="I127" s="1"/>
      <c r="J127" s="1"/>
      <c r="K127" s="1"/>
      <c r="L127" s="1"/>
      <c r="M127" s="1"/>
      <c r="N127" s="1"/>
    </row>
    <row r="128" customFormat="false" ht="13.8" hidden="false" customHeight="false" outlineLevel="0" collapsed="false">
      <c r="A128" s="1" t="s">
        <v>82</v>
      </c>
      <c r="B128" s="1" t="str">
        <f aca="false">IF(  OR(ISNUMBER(SEARCH("SMOTEENN",A128)),ISNUMBER(SEARCH("SMOTETomek",A128))),  "Hybrid",  IF(   AND(    OR(ISNUMBER(SEARCH("SMOTE",A128)),ISNUMBER(SEARCH("SVMSMOTE",A128)),ISNUMBER(SEARCH("RandomOverSampler",A128)),ISNUMBER(SEARCH("BorderlineSmote",A128))),    OR(ISNUMBER(SEARCH("RandomUnderSampler",A128)),ISNUMBER(SEARCH("ClusterCentroids",A128)),ISNUMBER(SEARCH("OneSidedSelection",A128)))   ),   "Over+Under",   IF(    OR(ISNUMBER(SEARCH("SMOTE",A128)),ISNUMBER(SEARCH("SVMSMOTE",A128)),ISNUMBER(SEARCH("RandomOverSampler",A128)),ISNUMBER(SEARCH("BorderlineSmote",A128))),    "Oversampling",    IF(     OR(ISNUMBER(SEARCH("RandomUnderSampler",A128)),ISNUMBER(SEARCH("ClusterCentroids",A128)),ISNUMBER(SEARCH("OneSidedSelection",A128))),     "Undersampler",     "Czysty"    )   )  ) )</f>
        <v>Over+Under</v>
      </c>
      <c r="C128" s="1" t="s">
        <v>74</v>
      </c>
      <c r="D128" s="1" t="n">
        <v>0.4841</v>
      </c>
      <c r="E128" s="1" t="n">
        <v>0.4498</v>
      </c>
      <c r="F128" s="1" t="n">
        <v>0.4552</v>
      </c>
      <c r="G128" s="1" t="n">
        <v>0.501</v>
      </c>
      <c r="I128" s="1"/>
      <c r="J128" s="1"/>
      <c r="K128" s="1"/>
      <c r="L128" s="1"/>
      <c r="M128" s="1"/>
      <c r="N128" s="1"/>
    </row>
    <row r="129" customFormat="false" ht="13.8" hidden="false" customHeight="false" outlineLevel="0" collapsed="false">
      <c r="A129" s="1" t="s">
        <v>125</v>
      </c>
      <c r="B129" s="1" t="str">
        <f aca="false">IF(  OR(ISNUMBER(SEARCH("SMOTEENN",A129)),ISNUMBER(SEARCH("SMOTETomek",A129))),  "Hybrid",  IF(   AND(    OR(ISNUMBER(SEARCH("SMOTE",A129)),ISNUMBER(SEARCH("SVMSMOTE",A129)),ISNUMBER(SEARCH("RandomOverSampler",A129)),ISNUMBER(SEARCH("BorderlineSmote",A129))),    OR(ISNUMBER(SEARCH("RandomUnderSampler",A129)),ISNUMBER(SEARCH("ClusterCentroids",A129)),ISNUMBER(SEARCH("OneSidedSelection",A129)))   ),   "Over+Under",   IF(    OR(ISNUMBER(SEARCH("SMOTE",A129)),ISNUMBER(SEARCH("SVMSMOTE",A129)),ISNUMBER(SEARCH("RandomOverSampler",A129)),ISNUMBER(SEARCH("BorderlineSmote",A129))),    "Oversampling",    IF(     OR(ISNUMBER(SEARCH("RandomUnderSampler",A129)),ISNUMBER(SEARCH("ClusterCentroids",A129)),ISNUMBER(SEARCH("OneSidedSelection",A129))),     "Undersampler",     "Czysty"    )   )  ) )</f>
        <v>Over+Under</v>
      </c>
      <c r="C129" s="1" t="s">
        <v>74</v>
      </c>
      <c r="D129" s="1" t="n">
        <v>0.4556</v>
      </c>
      <c r="E129" s="1" t="n">
        <v>0.4376</v>
      </c>
      <c r="F129" s="1" t="n">
        <v>0.4518</v>
      </c>
      <c r="G129" s="1" t="n">
        <v>0.5042</v>
      </c>
      <c r="I129" s="1"/>
      <c r="J129" s="1"/>
      <c r="K129" s="1"/>
      <c r="L129" s="1"/>
      <c r="M129" s="1"/>
      <c r="N129" s="1"/>
    </row>
    <row r="130" customFormat="false" ht="13.8" hidden="false" customHeight="false" outlineLevel="0" collapsed="false">
      <c r="A130" s="1" t="s">
        <v>85</v>
      </c>
      <c r="B130" s="1" t="str">
        <f aca="false">IF(  OR(ISNUMBER(SEARCH("SMOTEENN",A130)),ISNUMBER(SEARCH("SMOTETomek",A130))),  "Hybrid",  IF(   AND(    OR(ISNUMBER(SEARCH("SMOTE",A130)),ISNUMBER(SEARCH("SVMSMOTE",A130)),ISNUMBER(SEARCH("RandomOverSampler",A130)),ISNUMBER(SEARCH("BorderlineSmote",A130))),    OR(ISNUMBER(SEARCH("RandomUnderSampler",A130)),ISNUMBER(SEARCH("ClusterCentroids",A130)),ISNUMBER(SEARCH("OneSidedSelection",A130)))   ),   "Over+Under",   IF(    OR(ISNUMBER(SEARCH("SMOTE",A130)),ISNUMBER(SEARCH("SVMSMOTE",A130)),ISNUMBER(SEARCH("RandomOverSampler",A130)),ISNUMBER(SEARCH("BorderlineSmote",A130))),    "Oversampling",    IF(     OR(ISNUMBER(SEARCH("RandomUnderSampler",A130)),ISNUMBER(SEARCH("ClusterCentroids",A130)),ISNUMBER(SEARCH("OneSidedSelection",A130))),     "Undersampler",     "Czysty"    )   )  ) )</f>
        <v>Over+Under</v>
      </c>
      <c r="C130" s="1" t="s">
        <v>74</v>
      </c>
      <c r="D130" s="1" t="n">
        <v>0.4429</v>
      </c>
      <c r="E130" s="1" t="n">
        <v>0.4303</v>
      </c>
      <c r="F130" s="1" t="n">
        <v>0.4579</v>
      </c>
      <c r="G130" s="1" t="n">
        <v>0.5113</v>
      </c>
      <c r="I130" s="1"/>
      <c r="J130" s="1"/>
      <c r="K130" s="1"/>
      <c r="L130" s="1"/>
      <c r="M130" s="1"/>
      <c r="N130" s="1"/>
    </row>
    <row r="131" customFormat="false" ht="13.8" hidden="false" customHeight="false" outlineLevel="0" collapsed="false">
      <c r="A131" s="1" t="s">
        <v>87</v>
      </c>
      <c r="B131" s="1" t="str">
        <f aca="false">IF(  OR(ISNUMBER(SEARCH("SMOTEENN",A131)),ISNUMBER(SEARCH("SMOTETomek",A131))),  "Hybrid",  IF(   AND(    OR(ISNUMBER(SEARCH("SMOTE",A131)),ISNUMBER(SEARCH("SVMSMOTE",A131)),ISNUMBER(SEARCH("RandomOverSampler",A131)),ISNUMBER(SEARCH("BorderlineSmote",A131))),    OR(ISNUMBER(SEARCH("RandomUnderSampler",A131)),ISNUMBER(SEARCH("ClusterCentroids",A131)),ISNUMBER(SEARCH("OneSidedSelection",A131)))   ),   "Over+Under",   IF(    OR(ISNUMBER(SEARCH("SMOTE",A131)),ISNUMBER(SEARCH("SVMSMOTE",A131)),ISNUMBER(SEARCH("RandomOverSampler",A131)),ISNUMBER(SEARCH("BorderlineSmote",A131))),    "Oversampling",    IF(     OR(ISNUMBER(SEARCH("RandomUnderSampler",A131)),ISNUMBER(SEARCH("ClusterCentroids",A131)),ISNUMBER(SEARCH("OneSidedSelection",A131))),     "Undersampler",     "Czysty"    )   )  ) )</f>
        <v>Hybrid</v>
      </c>
      <c r="C131" s="1" t="s">
        <v>74</v>
      </c>
      <c r="D131" s="1" t="n">
        <v>0.4</v>
      </c>
      <c r="E131" s="1" t="n">
        <v>0.3609</v>
      </c>
      <c r="F131" s="1" t="n">
        <v>0.4454</v>
      </c>
      <c r="G131" s="1" t="n">
        <v>0.5016</v>
      </c>
      <c r="I131" s="1"/>
      <c r="J131" s="1"/>
      <c r="K131" s="1"/>
      <c r="L131" s="1"/>
      <c r="M131" s="1"/>
      <c r="N131" s="1"/>
    </row>
    <row r="135" customFormat="false" ht="13.8" hidden="false" customHeight="false" outlineLevel="0" collapsed="false">
      <c r="D135" s="4" t="s">
        <v>6</v>
      </c>
      <c r="E135" s="4" t="s">
        <v>127</v>
      </c>
      <c r="F135" s="4" t="s">
        <v>9</v>
      </c>
      <c r="G135" s="4" t="s">
        <v>10</v>
      </c>
    </row>
    <row r="136" customFormat="false" ht="13.8" hidden="false" customHeight="false" outlineLevel="0" collapsed="false">
      <c r="A136" s="1" t="s">
        <v>75</v>
      </c>
      <c r="D136" s="1" t="n">
        <f aca="false">ROUND(STDEV(D3:D17, D69:D83, D36:D50, D102:D116), 5)</f>
        <v>0.06579</v>
      </c>
      <c r="E136" s="1" t="n">
        <f aca="false">ROUND(STDEV(E3:E17, E69:E83, E36:E50, E102:E116), 5)</f>
        <v>0.12775</v>
      </c>
      <c r="F136" s="1" t="n">
        <f aca="false">ROUND(STDEV(F3:F17, F69:F83, F36:F50, F102:F116), 5)</f>
        <v>0.16151</v>
      </c>
      <c r="G136" s="1" t="n">
        <f aca="false">ROUND(STDEV(G3:G17, G69:G83, G36:G50, G102:G116), 5)</f>
        <v>0.08396</v>
      </c>
    </row>
    <row r="137" customFormat="false" ht="13.8" hidden="false" customHeight="false" outlineLevel="0" collapsed="false">
      <c r="A137" s="1" t="s">
        <v>76</v>
      </c>
      <c r="D137" s="1" t="n">
        <f aca="false">ROUND(STDEV(D18:D32, D84:D98, D51:D65, D117:D131), 5)</f>
        <v>0.07071</v>
      </c>
      <c r="E137" s="1" t="n">
        <f aca="false">ROUND(STDEV(E18:E32, E84:E98, E51:E65, E117:E131), 5)</f>
        <v>0.13314</v>
      </c>
      <c r="F137" s="1" t="n">
        <f aca="false">ROUND(STDEV(F18:F32, F84:F98, F51:F65, F117:F131), 5)</f>
        <v>0.16415</v>
      </c>
      <c r="G137" s="1" t="n">
        <f aca="false">ROUND(STDEV(G18:G32, G84:G98, G51:G65, G117:G131), 5)</f>
        <v>0.08603</v>
      </c>
    </row>
  </sheetData>
  <mergeCells count="4">
    <mergeCell ref="A1:G1"/>
    <mergeCell ref="A34:G34"/>
    <mergeCell ref="A67:G67"/>
    <mergeCell ref="A100:G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101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15" hidden="false" customHeight="false" outlineLevel="0" collapsed="false">
      <c r="A4" s="1" t="s">
        <v>70</v>
      </c>
      <c r="B4" s="1" t="s">
        <v>1</v>
      </c>
      <c r="C4" s="1" t="s">
        <v>13</v>
      </c>
      <c r="D4" s="1" t="s">
        <v>14</v>
      </c>
      <c r="E4" s="1" t="n">
        <v>0.803703703703704</v>
      </c>
      <c r="F4" s="1" t="n">
        <v>0.804837164750958</v>
      </c>
      <c r="G4" s="1" t="n">
        <v>0.803156896221033</v>
      </c>
      <c r="H4" s="1" t="n">
        <v>0.806754343899745</v>
      </c>
      <c r="I4" s="1" t="n">
        <v>0.804837164750958</v>
      </c>
      <c r="J4" s="1" t="n">
        <v>0.0244262832533585</v>
      </c>
    </row>
    <row r="5" customFormat="false" ht="15" hidden="false" customHeight="false" outlineLevel="0" collapsed="false">
      <c r="A5" s="1" t="s">
        <v>1</v>
      </c>
      <c r="B5" s="1" t="s">
        <v>1</v>
      </c>
      <c r="C5" s="1" t="s">
        <v>18</v>
      </c>
      <c r="D5" s="1" t="s">
        <v>14</v>
      </c>
      <c r="E5" s="1" t="n">
        <v>0.801851851851852</v>
      </c>
      <c r="F5" s="1" t="n">
        <v>0.803101053639847</v>
      </c>
      <c r="G5" s="1" t="n">
        <v>0.801147047679541</v>
      </c>
      <c r="H5" s="1" t="n">
        <v>0.805763913439044</v>
      </c>
      <c r="I5" s="1" t="n">
        <v>0.803101053639847</v>
      </c>
      <c r="J5" s="1" t="n">
        <v>0.0224950607737363</v>
      </c>
    </row>
    <row r="6" customFormat="false" ht="15" hidden="false" customHeight="false" outlineLevel="0" collapsed="false">
      <c r="A6" s="1" t="s">
        <v>42</v>
      </c>
      <c r="B6" s="1" t="s">
        <v>1</v>
      </c>
      <c r="C6" s="1" t="s">
        <v>13</v>
      </c>
      <c r="D6" s="1" t="s">
        <v>14</v>
      </c>
      <c r="E6" s="1" t="n">
        <v>0.798148148148148</v>
      </c>
      <c r="F6" s="1" t="n">
        <v>0.80106561302682</v>
      </c>
      <c r="G6" s="1" t="n">
        <v>0.799807252871215</v>
      </c>
      <c r="H6" s="1" t="n">
        <v>0.799618608819805</v>
      </c>
      <c r="I6" s="1" t="n">
        <v>0.80106561302682</v>
      </c>
      <c r="J6" s="1" t="n">
        <v>0.0221386381568065</v>
      </c>
    </row>
    <row r="7" customFormat="false" ht="15" hidden="false" customHeight="false" outlineLevel="0" collapsed="false">
      <c r="A7" s="1" t="s">
        <v>40</v>
      </c>
      <c r="B7" s="1" t="s">
        <v>1</v>
      </c>
      <c r="C7" s="1" t="s">
        <v>13</v>
      </c>
      <c r="D7" s="1" t="s">
        <v>14</v>
      </c>
      <c r="E7" s="1" t="n">
        <v>0.796296296296296</v>
      </c>
      <c r="F7" s="1" t="n">
        <v>0.799329501915709</v>
      </c>
      <c r="G7" s="1" t="n">
        <v>0.79722315370173</v>
      </c>
      <c r="H7" s="1" t="n">
        <v>0.798957516901065</v>
      </c>
      <c r="I7" s="1" t="n">
        <v>0.799329501915709</v>
      </c>
      <c r="J7" s="1" t="n">
        <v>0.0152443515665309</v>
      </c>
    </row>
    <row r="8" customFormat="false" ht="15" hidden="false" customHeight="false" outlineLevel="0" collapsed="false">
      <c r="A8" s="1" t="s">
        <v>16</v>
      </c>
      <c r="B8" s="1" t="s">
        <v>1</v>
      </c>
      <c r="C8" s="1" t="s">
        <v>13</v>
      </c>
      <c r="D8" s="1" t="s">
        <v>14</v>
      </c>
      <c r="E8" s="1" t="n">
        <v>0.796296296296296</v>
      </c>
      <c r="F8" s="1" t="n">
        <v>0.797533524904215</v>
      </c>
      <c r="G8" s="1" t="n">
        <v>0.795811557107136</v>
      </c>
      <c r="H8" s="1" t="n">
        <v>0.79663595482223</v>
      </c>
      <c r="I8" s="1" t="n">
        <v>0.797533524904215</v>
      </c>
      <c r="J8" s="1" t="n">
        <v>0.0164100503505367</v>
      </c>
    </row>
    <row r="9" customFormat="false" ht="15" hidden="false" customHeight="false" outlineLevel="0" collapsed="false">
      <c r="A9" s="1" t="s">
        <v>12</v>
      </c>
      <c r="B9" s="1" t="s">
        <v>1</v>
      </c>
      <c r="C9" s="1" t="s">
        <v>13</v>
      </c>
      <c r="D9" s="1" t="s">
        <v>14</v>
      </c>
      <c r="E9" s="1" t="n">
        <v>0.794444444444444</v>
      </c>
      <c r="F9" s="1" t="n">
        <v>0.797593390804598</v>
      </c>
      <c r="G9" s="1" t="n">
        <v>0.795490182564917</v>
      </c>
      <c r="H9" s="1" t="n">
        <v>0.798118729286671</v>
      </c>
      <c r="I9" s="1" t="n">
        <v>0.797593390804598</v>
      </c>
      <c r="J9" s="1" t="n">
        <v>0.0526006056399919</v>
      </c>
    </row>
    <row r="10" customFormat="false" ht="15" hidden="false" customHeight="false" outlineLevel="0" collapsed="false">
      <c r="A10" s="1" t="s">
        <v>71</v>
      </c>
      <c r="B10" s="1" t="s">
        <v>1</v>
      </c>
      <c r="C10" s="1" t="s">
        <v>13</v>
      </c>
      <c r="D10" s="1" t="s">
        <v>14</v>
      </c>
      <c r="E10" s="1" t="n">
        <v>0.792592592592593</v>
      </c>
      <c r="F10" s="1" t="n">
        <v>0.795318486590038</v>
      </c>
      <c r="G10" s="1" t="n">
        <v>0.793482081057691</v>
      </c>
      <c r="H10" s="1" t="n">
        <v>0.794501833409171</v>
      </c>
      <c r="I10" s="1" t="n">
        <v>0.795318486590038</v>
      </c>
      <c r="J10" s="1" t="n">
        <v>0.0254409546043777</v>
      </c>
    </row>
    <row r="11" customFormat="false" ht="15" hidden="false" customHeight="false" outlineLevel="0" collapsed="false">
      <c r="A11" s="1" t="s">
        <v>73</v>
      </c>
      <c r="B11" s="1" t="s">
        <v>1</v>
      </c>
      <c r="C11" s="1" t="s">
        <v>13</v>
      </c>
      <c r="D11" s="1" t="s">
        <v>14</v>
      </c>
      <c r="E11" s="1" t="n">
        <v>0.790740740740741</v>
      </c>
      <c r="F11" s="1" t="n">
        <v>0.79268438697318</v>
      </c>
      <c r="G11" s="1" t="n">
        <v>0.790642517394024</v>
      </c>
      <c r="H11" s="1" t="n">
        <v>0.792131237068948</v>
      </c>
      <c r="I11" s="1" t="n">
        <v>0.79268438697318</v>
      </c>
      <c r="J11" s="1" t="n">
        <v>0.0291322984151952</v>
      </c>
    </row>
    <row r="12" customFormat="false" ht="15" hidden="false" customHeight="false" outlineLevel="0" collapsed="false">
      <c r="A12" s="1" t="s">
        <v>66</v>
      </c>
      <c r="B12" s="1" t="s">
        <v>17</v>
      </c>
      <c r="C12" s="1" t="s">
        <v>13</v>
      </c>
      <c r="D12" s="1" t="s">
        <v>14</v>
      </c>
      <c r="E12" s="1" t="n">
        <v>0.788888888888889</v>
      </c>
      <c r="F12" s="1" t="n">
        <v>0.791666666666667</v>
      </c>
      <c r="G12" s="1" t="n">
        <v>0.791334059395301</v>
      </c>
      <c r="H12" s="1" t="n">
        <v>0.796337714373277</v>
      </c>
      <c r="I12" s="1" t="n">
        <v>0.791666666666667</v>
      </c>
      <c r="J12" s="1" t="n">
        <v>0.0260939773718175</v>
      </c>
    </row>
    <row r="13" customFormat="false" ht="15" hidden="false" customHeight="false" outlineLevel="0" collapsed="false">
      <c r="A13" s="1" t="s">
        <v>72</v>
      </c>
      <c r="B13" s="1" t="s">
        <v>1</v>
      </c>
      <c r="C13" s="1" t="s">
        <v>13</v>
      </c>
      <c r="D13" s="1" t="s">
        <v>14</v>
      </c>
      <c r="E13" s="1" t="n">
        <v>0.787037037037037</v>
      </c>
      <c r="F13" s="1" t="n">
        <v>0.789212164750958</v>
      </c>
      <c r="G13" s="1" t="n">
        <v>0.786974229664605</v>
      </c>
      <c r="H13" s="1" t="n">
        <v>0.790124965615146</v>
      </c>
      <c r="I13" s="1" t="n">
        <v>0.789212164750958</v>
      </c>
      <c r="J13" s="1" t="n">
        <v>0.031011122450219</v>
      </c>
    </row>
    <row r="14" customFormat="false" ht="15" hidden="false" customHeight="false" outlineLevel="0" collapsed="false">
      <c r="A14" s="1" t="s">
        <v>31</v>
      </c>
      <c r="B14" s="1" t="s">
        <v>1</v>
      </c>
      <c r="C14" s="1" t="s">
        <v>13</v>
      </c>
      <c r="D14" s="1" t="s">
        <v>14</v>
      </c>
      <c r="E14" s="1" t="n">
        <v>0.785185185185185</v>
      </c>
      <c r="F14" s="1" t="n">
        <v>0.788374042145594</v>
      </c>
      <c r="G14" s="1" t="n">
        <v>0.785087626575414</v>
      </c>
      <c r="H14" s="1" t="n">
        <v>0.789521662001501</v>
      </c>
      <c r="I14" s="1" t="n">
        <v>0.788374042145594</v>
      </c>
      <c r="J14" s="1" t="n">
        <v>0.0184075550037147</v>
      </c>
    </row>
    <row r="15" customFormat="false" ht="15" hidden="false" customHeight="false" outlineLevel="0" collapsed="false">
      <c r="A15" s="1" t="s">
        <v>68</v>
      </c>
      <c r="B15" s="1" t="s">
        <v>17</v>
      </c>
      <c r="C15" s="1" t="s">
        <v>13</v>
      </c>
      <c r="D15" s="1" t="s">
        <v>14</v>
      </c>
      <c r="E15" s="1" t="n">
        <v>0.781481481481482</v>
      </c>
      <c r="F15" s="1" t="n">
        <v>0.783285440613027</v>
      </c>
      <c r="G15" s="1" t="n">
        <v>0.782449240365682</v>
      </c>
      <c r="H15" s="1" t="n">
        <v>0.795786764500822</v>
      </c>
      <c r="I15" s="1" t="n">
        <v>0.783285440613027</v>
      </c>
      <c r="J15" s="1" t="n">
        <v>0.0434952256451619</v>
      </c>
    </row>
    <row r="16" customFormat="false" ht="15" hidden="false" customHeight="false" outlineLevel="0" collapsed="false">
      <c r="A16" s="1" t="s">
        <v>58</v>
      </c>
      <c r="B16" s="1" t="s">
        <v>26</v>
      </c>
      <c r="C16" s="1" t="s">
        <v>13</v>
      </c>
      <c r="D16" s="1" t="s">
        <v>14</v>
      </c>
      <c r="E16" s="1" t="n">
        <v>0.77962962962963</v>
      </c>
      <c r="F16" s="1" t="n">
        <v>0.782447318007663</v>
      </c>
      <c r="G16" s="1" t="n">
        <v>0.779536252363324</v>
      </c>
      <c r="H16" s="1" t="n">
        <v>0.784746730502102</v>
      </c>
      <c r="I16" s="1" t="n">
        <v>0.782447318007663</v>
      </c>
      <c r="J16" s="1" t="n">
        <v>0.0512408387047307</v>
      </c>
    </row>
    <row r="17" customFormat="false" ht="15" hidden="false" customHeight="false" outlineLevel="0" collapsed="false">
      <c r="A17" s="1" t="s">
        <v>25</v>
      </c>
      <c r="B17" s="1" t="s">
        <v>26</v>
      </c>
      <c r="C17" s="1" t="s">
        <v>13</v>
      </c>
      <c r="D17" s="1" t="s">
        <v>14</v>
      </c>
      <c r="E17" s="1" t="n">
        <v>0.777777777777778</v>
      </c>
      <c r="F17" s="1" t="n">
        <v>0.779813218390805</v>
      </c>
      <c r="G17" s="1" t="n">
        <v>0.780172660432562</v>
      </c>
      <c r="H17" s="1" t="n">
        <v>0.783754796356125</v>
      </c>
      <c r="I17" s="1" t="n">
        <v>0.779813218390805</v>
      </c>
      <c r="J17" s="1" t="n">
        <v>0.0415207171048493</v>
      </c>
    </row>
    <row r="18" customFormat="false" ht="15" hidden="false" customHeight="false" outlineLevel="0" collapsed="false">
      <c r="A18" s="1" t="s">
        <v>53</v>
      </c>
      <c r="B18" s="1" t="s">
        <v>17</v>
      </c>
      <c r="C18" s="1" t="s">
        <v>13</v>
      </c>
      <c r="D18" s="1" t="s">
        <v>14</v>
      </c>
      <c r="E18" s="1" t="n">
        <v>0.777777777777778</v>
      </c>
      <c r="F18" s="1" t="n">
        <v>0.780711206896552</v>
      </c>
      <c r="G18" s="1" t="n">
        <v>0.77696919063071</v>
      </c>
      <c r="H18" s="1" t="n">
        <v>0.782113048871034</v>
      </c>
      <c r="I18" s="1" t="n">
        <v>0.780711206896552</v>
      </c>
      <c r="J18" s="1" t="n">
        <v>0.0082170512758082</v>
      </c>
    </row>
    <row r="19" customFormat="false" ht="15" hidden="false" customHeight="false" outlineLevel="0" collapsed="false">
      <c r="A19" s="1" t="s">
        <v>15</v>
      </c>
      <c r="B19" s="1" t="s">
        <v>1</v>
      </c>
      <c r="C19" s="1" t="s">
        <v>13</v>
      </c>
      <c r="D19" s="1" t="s">
        <v>14</v>
      </c>
      <c r="E19" s="1" t="n">
        <v>0.777777777777778</v>
      </c>
      <c r="F19" s="1" t="n">
        <v>0.779992816091954</v>
      </c>
      <c r="G19" s="1" t="n">
        <v>0.776759733962823</v>
      </c>
      <c r="H19" s="1" t="n">
        <v>0.779920755909905</v>
      </c>
      <c r="I19" s="1" t="n">
        <v>0.779992816091954</v>
      </c>
      <c r="J19" s="1" t="n">
        <v>0.0408361040087413</v>
      </c>
    </row>
    <row r="20" customFormat="false" ht="15" hidden="false" customHeight="false" outlineLevel="0" collapsed="false">
      <c r="A20" s="1" t="s">
        <v>32</v>
      </c>
      <c r="B20" s="1" t="s">
        <v>1</v>
      </c>
      <c r="C20" s="1" t="s">
        <v>13</v>
      </c>
      <c r="D20" s="1" t="s">
        <v>14</v>
      </c>
      <c r="E20" s="1" t="n">
        <v>0.774074074074074</v>
      </c>
      <c r="F20" s="1" t="n">
        <v>0.776161398467433</v>
      </c>
      <c r="G20" s="1" t="n">
        <v>0.774003509361665</v>
      </c>
      <c r="H20" s="1" t="n">
        <v>0.776939418867168</v>
      </c>
      <c r="I20" s="1" t="n">
        <v>0.776161398467433</v>
      </c>
      <c r="J20" s="1" t="n">
        <v>0.0364856766317421</v>
      </c>
    </row>
    <row r="21" customFormat="false" ht="15" hidden="false" customHeight="false" outlineLevel="0" collapsed="false">
      <c r="A21" s="1" t="s">
        <v>20</v>
      </c>
      <c r="B21" s="1" t="s">
        <v>17</v>
      </c>
      <c r="C21" s="1" t="s">
        <v>13</v>
      </c>
      <c r="D21" s="1" t="s">
        <v>14</v>
      </c>
      <c r="E21" s="1" t="n">
        <v>0.774074074074074</v>
      </c>
      <c r="F21" s="1" t="n">
        <v>0.775981800766283</v>
      </c>
      <c r="G21" s="1" t="n">
        <v>0.77366616978727</v>
      </c>
      <c r="H21" s="1" t="n">
        <v>0.774246958822118</v>
      </c>
      <c r="I21" s="1" t="n">
        <v>0.775981800766283</v>
      </c>
      <c r="J21" s="1" t="n">
        <v>0.0316014924026548</v>
      </c>
    </row>
    <row r="22" customFormat="false" ht="15" hidden="false" customHeight="false" outlineLevel="0" collapsed="false">
      <c r="A22" s="1" t="s">
        <v>28</v>
      </c>
      <c r="B22" s="1" t="s">
        <v>26</v>
      </c>
      <c r="C22" s="1" t="s">
        <v>13</v>
      </c>
      <c r="D22" s="1" t="s">
        <v>14</v>
      </c>
      <c r="E22" s="1" t="n">
        <v>0.770370370370371</v>
      </c>
      <c r="F22" s="1" t="n">
        <v>0.77286877394636</v>
      </c>
      <c r="G22" s="1" t="n">
        <v>0.771278726755753</v>
      </c>
      <c r="H22" s="1" t="n">
        <v>0.781520728711524</v>
      </c>
      <c r="I22" s="1" t="n">
        <v>0.77286877394636</v>
      </c>
      <c r="J22" s="1" t="n">
        <v>0.03712049372707</v>
      </c>
    </row>
    <row r="23" customFormat="false" ht="15" hidden="false" customHeight="false" outlineLevel="0" collapsed="false">
      <c r="A23" s="1" t="s">
        <v>21</v>
      </c>
      <c r="B23" s="1" t="s">
        <v>17</v>
      </c>
      <c r="C23" s="1" t="s">
        <v>13</v>
      </c>
      <c r="D23" s="1" t="s">
        <v>14</v>
      </c>
      <c r="E23" s="1" t="n">
        <v>0.766666666666667</v>
      </c>
      <c r="F23" s="1" t="n">
        <v>0.769037356321839</v>
      </c>
      <c r="G23" s="1" t="n">
        <v>0.7664860667539</v>
      </c>
      <c r="H23" s="1" t="n">
        <v>0.775309181262298</v>
      </c>
      <c r="I23" s="1" t="n">
        <v>0.769037356321839</v>
      </c>
      <c r="J23" s="1" t="n">
        <v>0.0436520443449803</v>
      </c>
    </row>
    <row r="24" customFormat="false" ht="15" hidden="false" customHeight="false" outlineLevel="0" collapsed="false">
      <c r="A24" s="1" t="s">
        <v>39</v>
      </c>
      <c r="B24" s="1" t="s">
        <v>26</v>
      </c>
      <c r="C24" s="1" t="s">
        <v>13</v>
      </c>
      <c r="D24" s="1" t="s">
        <v>14</v>
      </c>
      <c r="E24" s="1" t="n">
        <v>0.766666666666667</v>
      </c>
      <c r="F24" s="1" t="n">
        <v>0.769216954022989</v>
      </c>
      <c r="G24" s="1" t="n">
        <v>0.769576637166448</v>
      </c>
      <c r="H24" s="1" t="n">
        <v>0.773566809976241</v>
      </c>
      <c r="I24" s="1" t="n">
        <v>0.769216954022989</v>
      </c>
      <c r="J24" s="1" t="n">
        <v>0.0362162078953678</v>
      </c>
    </row>
    <row r="25" customFormat="false" ht="15" hidden="false" customHeight="false" outlineLevel="0" collapsed="false">
      <c r="A25" s="1" t="s">
        <v>26</v>
      </c>
      <c r="B25" s="1" t="s">
        <v>26</v>
      </c>
      <c r="C25" s="1" t="s">
        <v>18</v>
      </c>
      <c r="D25" s="1" t="s">
        <v>14</v>
      </c>
      <c r="E25" s="1" t="n">
        <v>0.764814814814815</v>
      </c>
      <c r="F25" s="1" t="n">
        <v>0.766223659003832</v>
      </c>
      <c r="G25" s="1" t="n">
        <v>0.764077948193378</v>
      </c>
      <c r="H25" s="1" t="n">
        <v>0.775638791678444</v>
      </c>
      <c r="I25" s="1" t="n">
        <v>0.766223659003832</v>
      </c>
      <c r="J25" s="1" t="n">
        <v>0.0437651570635538</v>
      </c>
    </row>
    <row r="26" customFormat="false" ht="15" hidden="false" customHeight="false" outlineLevel="0" collapsed="false">
      <c r="A26" s="1" t="s">
        <v>43</v>
      </c>
      <c r="B26" s="1" t="s">
        <v>26</v>
      </c>
      <c r="C26" s="1" t="s">
        <v>13</v>
      </c>
      <c r="D26" s="1" t="s">
        <v>14</v>
      </c>
      <c r="E26" s="1" t="n">
        <v>0.764814814814815</v>
      </c>
      <c r="F26" s="1" t="n">
        <v>0.766942049808429</v>
      </c>
      <c r="G26" s="1" t="n">
        <v>0.76645711875595</v>
      </c>
      <c r="H26" s="1" t="n">
        <v>0.773543578060193</v>
      </c>
      <c r="I26" s="1" t="n">
        <v>0.766942049808429</v>
      </c>
      <c r="J26" s="1" t="n">
        <v>0.0408878161361765</v>
      </c>
    </row>
    <row r="27" customFormat="false" ht="15" hidden="false" customHeight="false" outlineLevel="0" collapsed="false">
      <c r="A27" s="1" t="s">
        <v>60</v>
      </c>
      <c r="B27" s="1" t="s">
        <v>26</v>
      </c>
      <c r="C27" s="1" t="s">
        <v>13</v>
      </c>
      <c r="D27" s="1" t="s">
        <v>14</v>
      </c>
      <c r="E27" s="1" t="n">
        <v>0.764814814814815</v>
      </c>
      <c r="F27" s="1" t="n">
        <v>0.767840038314176</v>
      </c>
      <c r="G27" s="1" t="n">
        <v>0.768472616592918</v>
      </c>
      <c r="H27" s="1" t="n">
        <v>0.772477120543077</v>
      </c>
      <c r="I27" s="1" t="n">
        <v>0.767840038314176</v>
      </c>
      <c r="J27" s="1" t="n">
        <v>0.0359365726987109</v>
      </c>
    </row>
    <row r="28" customFormat="false" ht="15" hidden="false" customHeight="false" outlineLevel="0" collapsed="false">
      <c r="A28" s="1" t="s">
        <v>38</v>
      </c>
      <c r="B28" s="1" t="s">
        <v>26</v>
      </c>
      <c r="C28" s="1" t="s">
        <v>13</v>
      </c>
      <c r="D28" s="1" t="s">
        <v>14</v>
      </c>
      <c r="E28" s="1" t="n">
        <v>0.761111111111111</v>
      </c>
      <c r="F28" s="1" t="n">
        <v>0.764906609195402</v>
      </c>
      <c r="G28" s="1" t="n">
        <v>0.764492974481926</v>
      </c>
      <c r="H28" s="1" t="n">
        <v>0.769609786379113</v>
      </c>
      <c r="I28" s="1" t="n">
        <v>0.764906609195402</v>
      </c>
      <c r="J28" s="1" t="n">
        <v>0.0451783149219538</v>
      </c>
    </row>
    <row r="29" customFormat="false" ht="15" hidden="false" customHeight="false" outlineLevel="0" collapsed="false">
      <c r="A29" s="1" t="s">
        <v>67</v>
      </c>
      <c r="B29" s="1" t="s">
        <v>17</v>
      </c>
      <c r="C29" s="1" t="s">
        <v>13</v>
      </c>
      <c r="D29" s="1" t="s">
        <v>14</v>
      </c>
      <c r="E29" s="1" t="n">
        <v>0.761111111111111</v>
      </c>
      <c r="F29" s="1" t="n">
        <v>0.762931034482759</v>
      </c>
      <c r="G29" s="1" t="n">
        <v>0.762806986362502</v>
      </c>
      <c r="H29" s="1" t="n">
        <v>0.770423765204027</v>
      </c>
      <c r="I29" s="1" t="n">
        <v>0.762931034482759</v>
      </c>
      <c r="J29" s="1" t="n">
        <v>0.036075269568944</v>
      </c>
    </row>
    <row r="30" customFormat="false" ht="15" hidden="false" customHeight="false" outlineLevel="0" collapsed="false">
      <c r="A30" s="1" t="s">
        <v>30</v>
      </c>
      <c r="B30" s="1" t="s">
        <v>26</v>
      </c>
      <c r="C30" s="1" t="s">
        <v>13</v>
      </c>
      <c r="D30" s="1" t="s">
        <v>14</v>
      </c>
      <c r="E30" s="1" t="n">
        <v>0.759259259259259</v>
      </c>
      <c r="F30" s="1" t="n">
        <v>0.763170498084291</v>
      </c>
      <c r="G30" s="1" t="n">
        <v>0.761281212659622</v>
      </c>
      <c r="H30" s="1" t="n">
        <v>0.769393636438937</v>
      </c>
      <c r="I30" s="1" t="n">
        <v>0.763170498084291</v>
      </c>
      <c r="J30" s="1" t="n">
        <v>0.0262007218653929</v>
      </c>
    </row>
    <row r="31" customFormat="false" ht="15" hidden="false" customHeight="false" outlineLevel="0" collapsed="false">
      <c r="A31" s="1" t="s">
        <v>57</v>
      </c>
      <c r="B31" s="1" t="s">
        <v>26</v>
      </c>
      <c r="C31" s="1" t="s">
        <v>13</v>
      </c>
      <c r="D31" s="1" t="s">
        <v>14</v>
      </c>
      <c r="E31" s="1" t="n">
        <v>0.757407407407407</v>
      </c>
      <c r="F31" s="1" t="n">
        <v>0.75838122605364</v>
      </c>
      <c r="G31" s="1" t="n">
        <v>0.753235176339616</v>
      </c>
      <c r="H31" s="1" t="n">
        <v>0.769249372100897</v>
      </c>
      <c r="I31" s="1" t="n">
        <v>0.75838122605364</v>
      </c>
      <c r="J31" s="1" t="n">
        <v>0.0195434189596893</v>
      </c>
    </row>
    <row r="32" customFormat="false" ht="15" hidden="false" customHeight="false" outlineLevel="0" collapsed="false">
      <c r="A32" s="1" t="s">
        <v>65</v>
      </c>
      <c r="B32" s="1" t="s">
        <v>17</v>
      </c>
      <c r="C32" s="1" t="s">
        <v>13</v>
      </c>
      <c r="D32" s="1" t="s">
        <v>14</v>
      </c>
      <c r="E32" s="1" t="n">
        <v>0.757407407407407</v>
      </c>
      <c r="F32" s="1" t="n">
        <v>0.757303639846743</v>
      </c>
      <c r="G32" s="1" t="n">
        <v>0.758350306791017</v>
      </c>
      <c r="H32" s="1" t="n">
        <v>0.764451299200262</v>
      </c>
      <c r="I32" s="1" t="n">
        <v>0.757303639846743</v>
      </c>
      <c r="J32" s="1" t="n">
        <v>0.0289597568829671</v>
      </c>
    </row>
    <row r="33" customFormat="false" ht="15" hidden="false" customHeight="false" outlineLevel="0" collapsed="false">
      <c r="A33" s="1" t="s">
        <v>48</v>
      </c>
      <c r="B33" s="1" t="s">
        <v>26</v>
      </c>
      <c r="C33" s="1" t="s">
        <v>13</v>
      </c>
      <c r="D33" s="1" t="s">
        <v>14</v>
      </c>
      <c r="E33" s="1" t="n">
        <v>0.753703703703704</v>
      </c>
      <c r="F33" s="1" t="n">
        <v>0.759039750957855</v>
      </c>
      <c r="G33" s="1" t="n">
        <v>0.756929018616764</v>
      </c>
      <c r="H33" s="1" t="n">
        <v>0.765009566709221</v>
      </c>
      <c r="I33" s="1" t="n">
        <v>0.759039750957855</v>
      </c>
      <c r="J33" s="1" t="n">
        <v>0.036850739498346</v>
      </c>
    </row>
    <row r="34" customFormat="false" ht="15" hidden="false" customHeight="false" outlineLevel="0" collapsed="false">
      <c r="A34" s="1" t="s">
        <v>54</v>
      </c>
      <c r="B34" s="1" t="s">
        <v>17</v>
      </c>
      <c r="C34" s="1" t="s">
        <v>13</v>
      </c>
      <c r="D34" s="1" t="s">
        <v>14</v>
      </c>
      <c r="E34" s="1" t="n">
        <v>0.75</v>
      </c>
      <c r="F34" s="1" t="n">
        <v>0.752693965517241</v>
      </c>
      <c r="G34" s="1" t="n">
        <v>0.752120441842959</v>
      </c>
      <c r="H34" s="1" t="n">
        <v>0.758747223394779</v>
      </c>
      <c r="I34" s="1" t="n">
        <v>0.752693965517241</v>
      </c>
      <c r="J34" s="1" t="n">
        <v>0.0288692218848249</v>
      </c>
    </row>
    <row r="35" customFormat="false" ht="15" hidden="false" customHeight="false" outlineLevel="0" collapsed="false">
      <c r="A35" s="1" t="s">
        <v>17</v>
      </c>
      <c r="B35" s="1" t="s">
        <v>17</v>
      </c>
      <c r="C35" s="1" t="s">
        <v>18</v>
      </c>
      <c r="D35" s="1" t="s">
        <v>14</v>
      </c>
      <c r="E35" s="1" t="n">
        <v>0.748148148148148</v>
      </c>
      <c r="F35" s="1" t="n">
        <v>0.748263888888889</v>
      </c>
      <c r="G35" s="1" t="n">
        <v>0.74772458404108</v>
      </c>
      <c r="H35" s="1" t="n">
        <v>0.757774417926224</v>
      </c>
      <c r="I35" s="1" t="n">
        <v>0.748263888888889</v>
      </c>
      <c r="J35" s="1" t="n">
        <v>0.0221444601034601</v>
      </c>
    </row>
    <row r="36" customFormat="false" ht="15" hidden="false" customHeight="false" outlineLevel="0" collapsed="false">
      <c r="A36" s="1" t="s">
        <v>55</v>
      </c>
      <c r="B36" s="1" t="s">
        <v>17</v>
      </c>
      <c r="C36" s="1" t="s">
        <v>13</v>
      </c>
      <c r="D36" s="1" t="s">
        <v>14</v>
      </c>
      <c r="E36" s="1" t="n">
        <v>0.748148148148148</v>
      </c>
      <c r="F36" s="1" t="n">
        <v>0.749700670498084</v>
      </c>
      <c r="G36" s="1" t="n">
        <v>0.752055192209408</v>
      </c>
      <c r="H36" s="1" t="n">
        <v>0.75794887843947</v>
      </c>
      <c r="I36" s="1" t="n">
        <v>0.749700670498084</v>
      </c>
      <c r="J36" s="1" t="n">
        <v>0.0470341288705442</v>
      </c>
    </row>
    <row r="37" customFormat="false" ht="15" hidden="false" customHeight="false" outlineLevel="0" collapsed="false">
      <c r="A37" s="1" t="s">
        <v>56</v>
      </c>
      <c r="B37" s="1" t="s">
        <v>17</v>
      </c>
      <c r="C37" s="1" t="s">
        <v>13</v>
      </c>
      <c r="D37" s="1" t="s">
        <v>14</v>
      </c>
      <c r="E37" s="1" t="n">
        <v>0.742592592592593</v>
      </c>
      <c r="F37" s="1" t="n">
        <v>0.745569923371647</v>
      </c>
      <c r="G37" s="1" t="n">
        <v>0.742887154510284</v>
      </c>
      <c r="H37" s="1" t="n">
        <v>0.748348339962841</v>
      </c>
      <c r="I37" s="1" t="n">
        <v>0.745569923371647</v>
      </c>
      <c r="J37" s="1" t="n">
        <v>0.048823974803521</v>
      </c>
    </row>
    <row r="38" customFormat="false" ht="15" hidden="false" customHeight="false" outlineLevel="0" collapsed="false">
      <c r="A38" s="1" t="s">
        <v>22</v>
      </c>
      <c r="B38" s="1" t="s">
        <v>23</v>
      </c>
      <c r="C38" s="1" t="s">
        <v>13</v>
      </c>
      <c r="D38" s="1" t="s">
        <v>14</v>
      </c>
      <c r="E38" s="1" t="n">
        <v>0.740740740740741</v>
      </c>
      <c r="F38" s="1" t="n">
        <v>0.744911398467433</v>
      </c>
      <c r="G38" s="1" t="n">
        <v>0.740334155193691</v>
      </c>
      <c r="H38" s="1" t="n">
        <v>0.745690187368157</v>
      </c>
      <c r="I38" s="1" t="n">
        <v>0.744911398467433</v>
      </c>
      <c r="J38" s="1" t="n">
        <v>0.0415695823892384</v>
      </c>
    </row>
    <row r="39" customFormat="false" ht="15" hidden="false" customHeight="false" outlineLevel="0" collapsed="false">
      <c r="A39" s="1" t="s">
        <v>50</v>
      </c>
      <c r="B39" s="1" t="s">
        <v>23</v>
      </c>
      <c r="C39" s="1" t="s">
        <v>13</v>
      </c>
      <c r="D39" s="1" t="s">
        <v>14</v>
      </c>
      <c r="E39" s="1" t="n">
        <v>0.738888888888889</v>
      </c>
      <c r="F39" s="1" t="n">
        <v>0.741918103448276</v>
      </c>
      <c r="G39" s="1" t="n">
        <v>0.742846352335122</v>
      </c>
      <c r="H39" s="1" t="n">
        <v>0.746263277728409</v>
      </c>
      <c r="I39" s="1" t="n">
        <v>0.741918103448276</v>
      </c>
      <c r="J39" s="1" t="n">
        <v>0.0503806308018963</v>
      </c>
    </row>
    <row r="40" customFormat="false" ht="15" hidden="false" customHeight="false" outlineLevel="0" collapsed="false">
      <c r="A40" s="1" t="s">
        <v>19</v>
      </c>
      <c r="B40" s="1" t="s">
        <v>17</v>
      </c>
      <c r="C40" s="1" t="s">
        <v>13</v>
      </c>
      <c r="D40" s="1" t="s">
        <v>14</v>
      </c>
      <c r="E40" s="1" t="n">
        <v>0.738888888888889</v>
      </c>
      <c r="F40" s="1" t="n">
        <v>0.738864942528736</v>
      </c>
      <c r="G40" s="1" t="n">
        <v>0.73909843880393</v>
      </c>
      <c r="H40" s="1" t="n">
        <v>0.750833072051101</v>
      </c>
      <c r="I40" s="1" t="n">
        <v>0.738864942528736</v>
      </c>
      <c r="J40" s="1" t="n">
        <v>0.0309483378415061</v>
      </c>
    </row>
    <row r="41" customFormat="false" ht="15" hidden="false" customHeight="false" outlineLevel="0" collapsed="false">
      <c r="A41" s="1" t="s">
        <v>59</v>
      </c>
      <c r="B41" s="1" t="s">
        <v>26</v>
      </c>
      <c r="C41" s="1" t="s">
        <v>13</v>
      </c>
      <c r="D41" s="1" t="s">
        <v>14</v>
      </c>
      <c r="E41" s="1" t="n">
        <v>0.737037037037037</v>
      </c>
      <c r="F41" s="1" t="n">
        <v>0.741079980842912</v>
      </c>
      <c r="G41" s="1" t="n">
        <v>0.739914555787714</v>
      </c>
      <c r="H41" s="1" t="n">
        <v>0.750073681138576</v>
      </c>
      <c r="I41" s="1" t="n">
        <v>0.741079980842912</v>
      </c>
      <c r="J41" s="1" t="n">
        <v>0.0220376067973694</v>
      </c>
    </row>
    <row r="42" customFormat="false" ht="15" hidden="false" customHeight="false" outlineLevel="0" collapsed="false">
      <c r="A42" s="1" t="s">
        <v>63</v>
      </c>
      <c r="B42" s="1" t="s">
        <v>23</v>
      </c>
      <c r="C42" s="1" t="s">
        <v>13</v>
      </c>
      <c r="D42" s="1" t="s">
        <v>14</v>
      </c>
      <c r="E42" s="1" t="n">
        <v>0.733333333333333</v>
      </c>
      <c r="F42" s="1" t="n">
        <v>0.736350574712644</v>
      </c>
      <c r="G42" s="1" t="n">
        <v>0.732966807209423</v>
      </c>
      <c r="H42" s="1" t="n">
        <v>0.735957461511944</v>
      </c>
      <c r="I42" s="1" t="n">
        <v>0.736350574712644</v>
      </c>
      <c r="J42" s="1" t="n">
        <v>0.0234578036450233</v>
      </c>
    </row>
    <row r="43" customFormat="false" ht="15" hidden="false" customHeight="false" outlineLevel="0" collapsed="false">
      <c r="A43" s="1" t="s">
        <v>44</v>
      </c>
      <c r="B43" s="1" t="s">
        <v>23</v>
      </c>
      <c r="C43" s="1" t="s">
        <v>13</v>
      </c>
      <c r="D43" s="1" t="s">
        <v>14</v>
      </c>
      <c r="E43" s="1" t="n">
        <v>0.722222222222222</v>
      </c>
      <c r="F43" s="1" t="n">
        <v>0.725933908045977</v>
      </c>
      <c r="G43" s="1" t="n">
        <v>0.723684270143234</v>
      </c>
      <c r="H43" s="1" t="n">
        <v>0.73697567207798</v>
      </c>
      <c r="I43" s="1" t="n">
        <v>0.725933908045977</v>
      </c>
      <c r="J43" s="1" t="n">
        <v>0.0504001424466583</v>
      </c>
    </row>
    <row r="44" customFormat="false" ht="15" hidden="false" customHeight="false" outlineLevel="0" collapsed="false">
      <c r="A44" s="1" t="s">
        <v>27</v>
      </c>
      <c r="B44" s="1" t="s">
        <v>23</v>
      </c>
      <c r="C44" s="1" t="s">
        <v>13</v>
      </c>
      <c r="D44" s="1" t="s">
        <v>14</v>
      </c>
      <c r="E44" s="1" t="n">
        <v>0.716666666666667</v>
      </c>
      <c r="F44" s="1" t="n">
        <v>0.720366379310345</v>
      </c>
      <c r="G44" s="1" t="n">
        <v>0.719808153677358</v>
      </c>
      <c r="H44" s="1" t="n">
        <v>0.723364766083841</v>
      </c>
      <c r="I44" s="1" t="n">
        <v>0.720366379310345</v>
      </c>
      <c r="J44" s="1" t="n">
        <v>0.0395134146242624</v>
      </c>
    </row>
    <row r="45" customFormat="false" ht="15" hidden="false" customHeight="false" outlineLevel="0" collapsed="false">
      <c r="A45" s="1" t="s">
        <v>46</v>
      </c>
      <c r="B45" s="1" t="s">
        <v>23</v>
      </c>
      <c r="C45" s="1" t="s">
        <v>13</v>
      </c>
      <c r="D45" s="1" t="s">
        <v>14</v>
      </c>
      <c r="E45" s="1" t="n">
        <v>0.701851851851852</v>
      </c>
      <c r="F45" s="1" t="n">
        <v>0.705938697318008</v>
      </c>
      <c r="G45" s="1" t="n">
        <v>0.703192547477242</v>
      </c>
      <c r="H45" s="1" t="n">
        <v>0.707134143521654</v>
      </c>
      <c r="I45" s="1" t="n">
        <v>0.705938697318008</v>
      </c>
      <c r="J45" s="1" t="n">
        <v>0.0367389178543008</v>
      </c>
    </row>
    <row r="46" customFormat="false" ht="15" hidden="false" customHeight="false" outlineLevel="0" collapsed="false">
      <c r="A46" s="1" t="s">
        <v>62</v>
      </c>
      <c r="B46" s="1" t="s">
        <v>23</v>
      </c>
      <c r="C46" s="1" t="s">
        <v>13</v>
      </c>
      <c r="D46" s="1" t="s">
        <v>14</v>
      </c>
      <c r="E46" s="1" t="n">
        <v>0.7</v>
      </c>
      <c r="F46" s="1" t="n">
        <v>0.702047413793104</v>
      </c>
      <c r="G46" s="1" t="n">
        <v>0.701465969836212</v>
      </c>
      <c r="H46" s="1" t="n">
        <v>0.705938810416175</v>
      </c>
      <c r="I46" s="1" t="n">
        <v>0.702047413793104</v>
      </c>
      <c r="J46" s="1" t="n">
        <v>0.0457256157403937</v>
      </c>
    </row>
    <row r="47" customFormat="false" ht="15" hidden="false" customHeight="false" outlineLevel="0" collapsed="false">
      <c r="A47" s="1" t="s">
        <v>23</v>
      </c>
      <c r="B47" s="1" t="s">
        <v>23</v>
      </c>
      <c r="C47" s="1" t="s">
        <v>18</v>
      </c>
      <c r="D47" s="1" t="s">
        <v>14</v>
      </c>
      <c r="E47" s="1" t="n">
        <v>0.698148148148148</v>
      </c>
      <c r="F47" s="1" t="n">
        <v>0.70102969348659</v>
      </c>
      <c r="G47" s="1" t="n">
        <v>0.696307753401517</v>
      </c>
      <c r="H47" s="1" t="n">
        <v>0.705089362879707</v>
      </c>
      <c r="I47" s="1" t="n">
        <v>0.70102969348659</v>
      </c>
      <c r="J47" s="1" t="n">
        <v>0.0419194212874699</v>
      </c>
    </row>
    <row r="48" customFormat="false" ht="15" hidden="false" customHeight="false" outlineLevel="0" collapsed="false">
      <c r="A48" s="1" t="s">
        <v>24</v>
      </c>
      <c r="B48" s="1" t="s">
        <v>23</v>
      </c>
      <c r="C48" s="1" t="s">
        <v>13</v>
      </c>
      <c r="D48" s="1" t="s">
        <v>14</v>
      </c>
      <c r="E48" s="1" t="n">
        <v>0.692592592592593</v>
      </c>
      <c r="F48" s="1" t="n">
        <v>0.696539750957855</v>
      </c>
      <c r="G48" s="1" t="n">
        <v>0.696351338365697</v>
      </c>
      <c r="H48" s="1" t="n">
        <v>0.698041936325987</v>
      </c>
      <c r="I48" s="1" t="n">
        <v>0.696539750957855</v>
      </c>
      <c r="J48" s="1" t="n">
        <v>0.0646071082743048</v>
      </c>
    </row>
    <row r="49" customFormat="false" ht="15" hidden="false" customHeight="false" outlineLevel="0" collapsed="false">
      <c r="A49" s="1" t="s">
        <v>61</v>
      </c>
      <c r="B49" s="1" t="s">
        <v>23</v>
      </c>
      <c r="C49" s="1" t="s">
        <v>13</v>
      </c>
      <c r="D49" s="1" t="s">
        <v>14</v>
      </c>
      <c r="E49" s="1" t="n">
        <v>0.690740740740741</v>
      </c>
      <c r="F49" s="1" t="n">
        <v>0.693366858237548</v>
      </c>
      <c r="G49" s="1" t="n">
        <v>0.690460733310925</v>
      </c>
      <c r="H49" s="1" t="n">
        <v>0.693202504611689</v>
      </c>
      <c r="I49" s="1" t="n">
        <v>0.693366858237548</v>
      </c>
      <c r="J49" s="1" t="n">
        <v>0.0315077043586734</v>
      </c>
    </row>
    <row r="50" customFormat="false" ht="15" hidden="false" customHeight="false" outlineLevel="0" collapsed="false">
      <c r="A50" s="1" t="s">
        <v>52</v>
      </c>
      <c r="B50" s="1" t="s">
        <v>23</v>
      </c>
      <c r="C50" s="1" t="s">
        <v>13</v>
      </c>
      <c r="D50" s="1" t="s">
        <v>14</v>
      </c>
      <c r="E50" s="1" t="n">
        <v>0.687037037037037</v>
      </c>
      <c r="F50" s="1" t="n">
        <v>0.69169061302682</v>
      </c>
      <c r="G50" s="1" t="n">
        <v>0.688859007813472</v>
      </c>
      <c r="H50" s="1" t="n">
        <v>0.689461447895315</v>
      </c>
      <c r="I50" s="1" t="n">
        <v>0.69169061302682</v>
      </c>
      <c r="J50" s="1" t="n">
        <v>0.0397726379927152</v>
      </c>
    </row>
    <row r="51" customFormat="false" ht="15" hidden="false" customHeight="false" outlineLevel="0" collapsed="false">
      <c r="A51" s="1" t="s">
        <v>64</v>
      </c>
      <c r="B51" s="1" t="s">
        <v>23</v>
      </c>
      <c r="C51" s="1" t="s">
        <v>13</v>
      </c>
      <c r="D51" s="1" t="s">
        <v>14</v>
      </c>
      <c r="E51" s="1" t="n">
        <v>0.687037037037037</v>
      </c>
      <c r="F51" s="1" t="n">
        <v>0.688817049808429</v>
      </c>
      <c r="G51" s="1" t="n">
        <v>0.686792182007553</v>
      </c>
      <c r="H51" s="1" t="n">
        <v>0.694814564772981</v>
      </c>
      <c r="I51" s="1" t="n">
        <v>0.688817049808429</v>
      </c>
      <c r="J51" s="1" t="n">
        <v>0.0499900421386799</v>
      </c>
    </row>
    <row r="52" customFormat="false" ht="15" hidden="false" customHeight="false" outlineLevel="0" collapsed="false">
      <c r="A52" s="1" t="s">
        <v>33</v>
      </c>
      <c r="B52" s="1" t="s">
        <v>1</v>
      </c>
      <c r="C52" s="1" t="s">
        <v>13</v>
      </c>
      <c r="D52" s="1" t="s">
        <v>14</v>
      </c>
      <c r="E52" s="1" t="n">
        <v>0.67962962962963</v>
      </c>
      <c r="F52" s="1" t="n">
        <v>0.668582375478927</v>
      </c>
      <c r="G52" s="1" t="n">
        <v>0.564739053837397</v>
      </c>
      <c r="H52" s="1" t="n">
        <v>0.558773527625987</v>
      </c>
      <c r="I52" s="1" t="n">
        <v>0.668582375478927</v>
      </c>
      <c r="J52" s="1" t="n">
        <v>0.0102172116284191</v>
      </c>
    </row>
    <row r="53" customFormat="false" ht="15" hidden="false" customHeight="false" outlineLevel="0" collapsed="false">
      <c r="A53" s="1" t="s">
        <v>36</v>
      </c>
      <c r="B53" s="1" t="s">
        <v>26</v>
      </c>
      <c r="C53" s="1" t="s">
        <v>13</v>
      </c>
      <c r="D53" s="1" t="s">
        <v>14</v>
      </c>
      <c r="E53" s="1" t="n">
        <v>0.677777777777778</v>
      </c>
      <c r="F53" s="1" t="n">
        <v>0.666666666666667</v>
      </c>
      <c r="G53" s="1" t="n">
        <v>0.558596601411635</v>
      </c>
      <c r="H53" s="1" t="n">
        <v>0.497539639147075</v>
      </c>
      <c r="I53" s="1" t="n">
        <v>0.666666666666667</v>
      </c>
      <c r="J53" s="1" t="n">
        <v>0.0013733037278464</v>
      </c>
    </row>
    <row r="54" customFormat="false" ht="15" hidden="false" customHeight="false" outlineLevel="0" collapsed="false">
      <c r="A54" s="1" t="s">
        <v>69</v>
      </c>
      <c r="B54" s="1" t="s">
        <v>1</v>
      </c>
      <c r="C54" s="1" t="s">
        <v>13</v>
      </c>
      <c r="D54" s="1" t="s">
        <v>14</v>
      </c>
      <c r="E54" s="1" t="n">
        <v>0.677777777777778</v>
      </c>
      <c r="F54" s="1" t="n">
        <v>0.666666666666667</v>
      </c>
      <c r="G54" s="1" t="n">
        <v>0.560619787305788</v>
      </c>
      <c r="H54" s="1" t="n">
        <v>0.502732240437159</v>
      </c>
      <c r="I54" s="1" t="n">
        <v>0.666666666666667</v>
      </c>
      <c r="J54" s="1" t="n">
        <v>0.0014879132028675</v>
      </c>
    </row>
    <row r="55" customFormat="false" ht="15" hidden="false" customHeight="false" outlineLevel="0" collapsed="false">
      <c r="A55" s="1" t="s">
        <v>37</v>
      </c>
      <c r="B55" s="1" t="s">
        <v>23</v>
      </c>
      <c r="C55" s="1" t="s">
        <v>13</v>
      </c>
      <c r="D55" s="1" t="s">
        <v>14</v>
      </c>
      <c r="E55" s="1" t="n">
        <v>0.675925925925926</v>
      </c>
      <c r="F55" s="1" t="n">
        <v>0.665828544061303</v>
      </c>
      <c r="G55" s="1" t="n">
        <v>0.576267493320645</v>
      </c>
      <c r="H55" s="1" t="n">
        <v>0.602646728259247</v>
      </c>
      <c r="I55" s="1" t="n">
        <v>0.665828544061303</v>
      </c>
      <c r="J55" s="1" t="n">
        <v>0.0462912994574003</v>
      </c>
    </row>
    <row r="56" customFormat="false" ht="15" hidden="false" customHeight="false" outlineLevel="0" collapsed="false">
      <c r="A56" s="1" t="s">
        <v>35</v>
      </c>
      <c r="B56" s="1" t="s">
        <v>26</v>
      </c>
      <c r="C56" s="1" t="s">
        <v>13</v>
      </c>
      <c r="D56" s="1" t="s">
        <v>14</v>
      </c>
      <c r="E56" s="1" t="n">
        <v>0.674074074074074</v>
      </c>
      <c r="F56" s="1" t="n">
        <v>0.662835249042146</v>
      </c>
      <c r="G56" s="1" t="n">
        <v>0.559557935084063</v>
      </c>
      <c r="H56" s="1" t="n">
        <v>0.55459231816031</v>
      </c>
      <c r="I56" s="1" t="n">
        <v>0.662835249042146</v>
      </c>
      <c r="J56" s="1" t="n">
        <v>0.009389466957365</v>
      </c>
    </row>
    <row r="57" customFormat="false" ht="15" hidden="false" customHeight="false" outlineLevel="0" collapsed="false">
      <c r="A57" s="1" t="s">
        <v>45</v>
      </c>
      <c r="B57" s="1" t="s">
        <v>1</v>
      </c>
      <c r="C57" s="1" t="s">
        <v>13</v>
      </c>
      <c r="D57" s="1" t="s">
        <v>14</v>
      </c>
      <c r="E57" s="1" t="n">
        <v>0.674074074074074</v>
      </c>
      <c r="F57" s="1" t="n">
        <v>0.686721743295019</v>
      </c>
      <c r="G57" s="1" t="n">
        <v>0.616660398691489</v>
      </c>
      <c r="H57" s="1" t="n">
        <v>0.594926139175155</v>
      </c>
      <c r="I57" s="1" t="n">
        <v>0.686721743295019</v>
      </c>
      <c r="J57" s="1" t="n">
        <v>0.0880717521394281</v>
      </c>
    </row>
    <row r="58" customFormat="false" ht="15" hidden="false" customHeight="false" outlineLevel="0" collapsed="false">
      <c r="A58" s="1" t="s">
        <v>34</v>
      </c>
      <c r="B58" s="1" t="s">
        <v>17</v>
      </c>
      <c r="C58" s="1" t="s">
        <v>13</v>
      </c>
      <c r="D58" s="1" t="s">
        <v>14</v>
      </c>
      <c r="E58" s="1" t="n">
        <v>0.662962962962963</v>
      </c>
      <c r="F58" s="1" t="n">
        <v>0.652238984674329</v>
      </c>
      <c r="G58" s="1" t="n">
        <v>0.547539132828238</v>
      </c>
      <c r="H58" s="1" t="n">
        <v>0.510848210572343</v>
      </c>
      <c r="I58" s="1" t="n">
        <v>0.652238984674329</v>
      </c>
      <c r="J58" s="1" t="n">
        <v>0.0123151142147586</v>
      </c>
    </row>
    <row r="59" customFormat="false" ht="15" hidden="false" customHeight="false" outlineLevel="0" collapsed="false">
      <c r="A59" s="1" t="s">
        <v>29</v>
      </c>
      <c r="B59" s="1" t="s">
        <v>17</v>
      </c>
      <c r="C59" s="1" t="s">
        <v>13</v>
      </c>
      <c r="D59" s="1" t="s">
        <v>14</v>
      </c>
      <c r="E59" s="1" t="n">
        <v>0.655555555555555</v>
      </c>
      <c r="F59" s="1" t="n">
        <v>0.646012931034483</v>
      </c>
      <c r="G59" s="1" t="n">
        <v>0.532731748585773</v>
      </c>
      <c r="H59" s="1" t="n">
        <v>0.481445090901067</v>
      </c>
      <c r="I59" s="1" t="n">
        <v>0.646012931034483</v>
      </c>
      <c r="J59" s="1" t="n">
        <v>0.0150193212047312</v>
      </c>
    </row>
    <row r="60" customFormat="false" ht="15" hidden="false" customHeight="false" outlineLevel="0" collapsed="false">
      <c r="A60" s="1" t="s">
        <v>41</v>
      </c>
      <c r="B60" s="1" t="s">
        <v>23</v>
      </c>
      <c r="C60" s="1" t="s">
        <v>13</v>
      </c>
      <c r="D60" s="1" t="s">
        <v>14</v>
      </c>
      <c r="E60" s="1" t="n">
        <v>0.648148148148148</v>
      </c>
      <c r="F60" s="1" t="n">
        <v>0.639248084291188</v>
      </c>
      <c r="G60" s="1" t="n">
        <v>0.55753292744151</v>
      </c>
      <c r="H60" s="1" t="n">
        <v>0.629052973294974</v>
      </c>
      <c r="I60" s="1" t="n">
        <v>0.639248084291188</v>
      </c>
      <c r="J60" s="1" t="n">
        <v>0.0225669781584828</v>
      </c>
    </row>
    <row r="61" customFormat="false" ht="15" hidden="false" customHeight="false" outlineLevel="0" collapsed="false">
      <c r="A61" s="1" t="s">
        <v>51</v>
      </c>
      <c r="B61" s="1" t="s">
        <v>26</v>
      </c>
      <c r="C61" s="1" t="s">
        <v>13</v>
      </c>
      <c r="D61" s="1" t="s">
        <v>14</v>
      </c>
      <c r="E61" s="1" t="n">
        <v>0.625925925925926</v>
      </c>
      <c r="F61" s="1" t="n">
        <v>0.642840038314176</v>
      </c>
      <c r="G61" s="1" t="n">
        <v>0.539560680709022</v>
      </c>
      <c r="H61" s="1" t="n">
        <v>0.491685047954</v>
      </c>
      <c r="I61" s="1" t="n">
        <v>0.642840038314176</v>
      </c>
      <c r="J61" s="1" t="n">
        <v>0.0626140305676694</v>
      </c>
    </row>
    <row r="62" customFormat="false" ht="15" hidden="false" customHeight="false" outlineLevel="0" collapsed="false">
      <c r="A62" s="1" t="s">
        <v>47</v>
      </c>
      <c r="B62" s="1" t="s">
        <v>23</v>
      </c>
      <c r="C62" s="1" t="s">
        <v>13</v>
      </c>
      <c r="D62" s="1" t="s">
        <v>14</v>
      </c>
      <c r="E62" s="1" t="n">
        <v>0.601851851851852</v>
      </c>
      <c r="F62" s="1" t="n">
        <v>0.606621168582375</v>
      </c>
      <c r="G62" s="1" t="n">
        <v>0.554121298835451</v>
      </c>
      <c r="H62" s="1" t="n">
        <v>0.580031687330106</v>
      </c>
      <c r="I62" s="1" t="n">
        <v>0.606621168582375</v>
      </c>
      <c r="J62" s="1" t="n">
        <v>0.137165218036406</v>
      </c>
    </row>
    <row r="63" customFormat="false" ht="15" hidden="false" customHeight="false" outlineLevel="0" collapsed="false">
      <c r="A63" s="1" t="s">
        <v>49</v>
      </c>
      <c r="B63" s="1" t="s">
        <v>17</v>
      </c>
      <c r="C63" s="1" t="s">
        <v>13</v>
      </c>
      <c r="D63" s="1" t="s">
        <v>14</v>
      </c>
      <c r="E63" s="1" t="n">
        <v>0.514814814814815</v>
      </c>
      <c r="F63" s="1" t="n">
        <v>0.528077107279694</v>
      </c>
      <c r="G63" s="1" t="n">
        <v>0.431875683675413</v>
      </c>
      <c r="H63" s="1" t="n">
        <v>0.433608267976871</v>
      </c>
      <c r="I63" s="1" t="n">
        <v>0.528077107279694</v>
      </c>
      <c r="J63" s="1" t="n">
        <v>0.203568275431941</v>
      </c>
    </row>
    <row r="64" customFormat="false" ht="15" hidden="false" customHeight="false" outlineLevel="0" collapsed="false">
      <c r="A64" s="1" t="s">
        <v>40</v>
      </c>
      <c r="B64" s="1" t="s">
        <v>1</v>
      </c>
      <c r="C64" s="1" t="s">
        <v>13</v>
      </c>
      <c r="D64" s="1" t="s">
        <v>74</v>
      </c>
      <c r="E64" s="1" t="n">
        <v>0.818518518518518</v>
      </c>
      <c r="F64" s="1" t="n">
        <v>0.821779214559387</v>
      </c>
      <c r="G64" s="1" t="n">
        <v>0.819285593541442</v>
      </c>
      <c r="H64" s="1" t="n">
        <v>0.823849958041088</v>
      </c>
      <c r="I64" s="1" t="n">
        <v>0.821779214559387</v>
      </c>
      <c r="J64" s="1" t="n">
        <v>0.0125115387764471</v>
      </c>
    </row>
    <row r="65" customFormat="false" ht="15" hidden="false" customHeight="false" outlineLevel="0" collapsed="false">
      <c r="A65" s="1" t="s">
        <v>42</v>
      </c>
      <c r="B65" s="1" t="s">
        <v>1</v>
      </c>
      <c r="C65" s="1" t="s">
        <v>13</v>
      </c>
      <c r="D65" s="1" t="s">
        <v>74</v>
      </c>
      <c r="E65" s="1" t="n">
        <v>0.807407407407407</v>
      </c>
      <c r="F65" s="1" t="n">
        <v>0.810284961685824</v>
      </c>
      <c r="G65" s="1" t="n">
        <v>0.808761395370413</v>
      </c>
      <c r="H65" s="1" t="n">
        <v>0.810791094441351</v>
      </c>
      <c r="I65" s="1" t="n">
        <v>0.810284961685824</v>
      </c>
      <c r="J65" s="1" t="n">
        <v>0.0285254093594028</v>
      </c>
    </row>
    <row r="66" customFormat="false" ht="15" hidden="false" customHeight="false" outlineLevel="0" collapsed="false">
      <c r="A66" s="1" t="s">
        <v>70</v>
      </c>
      <c r="B66" s="1" t="s">
        <v>1</v>
      </c>
      <c r="C66" s="1" t="s">
        <v>13</v>
      </c>
      <c r="D66" s="1" t="s">
        <v>74</v>
      </c>
      <c r="E66" s="1" t="n">
        <v>0.807407407407407</v>
      </c>
      <c r="F66" s="1" t="n">
        <v>0.808129789272031</v>
      </c>
      <c r="G66" s="1" t="n">
        <v>0.805800949617067</v>
      </c>
      <c r="H66" s="1" t="n">
        <v>0.810755648392698</v>
      </c>
      <c r="I66" s="1" t="n">
        <v>0.808129789272031</v>
      </c>
      <c r="J66" s="1" t="n">
        <v>0.0251122782616561</v>
      </c>
    </row>
    <row r="67" customFormat="false" ht="15" hidden="false" customHeight="false" outlineLevel="0" collapsed="false">
      <c r="A67" s="1" t="s">
        <v>1</v>
      </c>
      <c r="B67" s="1" t="s">
        <v>1</v>
      </c>
      <c r="C67" s="1" t="s">
        <v>18</v>
      </c>
      <c r="D67" s="1" t="s">
        <v>74</v>
      </c>
      <c r="E67" s="1" t="n">
        <v>0.805555555555556</v>
      </c>
      <c r="F67" s="1" t="n">
        <v>0.806752873563219</v>
      </c>
      <c r="G67" s="1" t="n">
        <v>0.804652961002631</v>
      </c>
      <c r="H67" s="1" t="n">
        <v>0.809579726948473</v>
      </c>
      <c r="I67" s="1" t="n">
        <v>0.806752873563219</v>
      </c>
      <c r="J67" s="1" t="n">
        <v>0.0212094433595728</v>
      </c>
    </row>
    <row r="68" customFormat="false" ht="15" hidden="false" customHeight="false" outlineLevel="0" collapsed="false">
      <c r="A68" s="1" t="s">
        <v>32</v>
      </c>
      <c r="B68" s="1" t="s">
        <v>1</v>
      </c>
      <c r="C68" s="1" t="s">
        <v>13</v>
      </c>
      <c r="D68" s="1" t="s">
        <v>74</v>
      </c>
      <c r="E68" s="1" t="n">
        <v>0.798148148148148</v>
      </c>
      <c r="F68" s="1" t="n">
        <v>0.800526819923372</v>
      </c>
      <c r="G68" s="1" t="n">
        <v>0.799286750950167</v>
      </c>
      <c r="H68" s="1" t="n">
        <v>0.800191635311417</v>
      </c>
      <c r="I68" s="1" t="n">
        <v>0.800526819923372</v>
      </c>
      <c r="J68" s="1" t="n">
        <v>0.0411761504175032</v>
      </c>
    </row>
    <row r="69" customFormat="false" ht="15" hidden="false" customHeight="false" outlineLevel="0" collapsed="false">
      <c r="A69" s="1" t="s">
        <v>71</v>
      </c>
      <c r="B69" s="1" t="s">
        <v>1</v>
      </c>
      <c r="C69" s="1" t="s">
        <v>13</v>
      </c>
      <c r="D69" s="1" t="s">
        <v>74</v>
      </c>
      <c r="E69" s="1" t="n">
        <v>0.796296296296296</v>
      </c>
      <c r="F69" s="1" t="n">
        <v>0.799688697318008</v>
      </c>
      <c r="G69" s="1" t="n">
        <v>0.797395141353289</v>
      </c>
      <c r="H69" s="1" t="n">
        <v>0.802538432653965</v>
      </c>
      <c r="I69" s="1" t="n">
        <v>0.799688697318008</v>
      </c>
      <c r="J69" s="1" t="n">
        <v>0.0419652834928908</v>
      </c>
    </row>
    <row r="70" customFormat="false" ht="15" hidden="false" customHeight="false" outlineLevel="0" collapsed="false">
      <c r="A70" s="1" t="s">
        <v>31</v>
      </c>
      <c r="B70" s="1" t="s">
        <v>1</v>
      </c>
      <c r="C70" s="1" t="s">
        <v>13</v>
      </c>
      <c r="D70" s="1" t="s">
        <v>74</v>
      </c>
      <c r="E70" s="1" t="n">
        <v>0.794444444444444</v>
      </c>
      <c r="F70" s="1" t="n">
        <v>0.797413793103448</v>
      </c>
      <c r="G70" s="1" t="n">
        <v>0.795276103799927</v>
      </c>
      <c r="H70" s="1" t="n">
        <v>0.801044348876096</v>
      </c>
      <c r="I70" s="1" t="n">
        <v>0.797413793103448</v>
      </c>
      <c r="J70" s="1" t="n">
        <v>0.02878084612366</v>
      </c>
    </row>
    <row r="71" customFormat="false" ht="15" hidden="false" customHeight="false" outlineLevel="0" collapsed="false">
      <c r="A71" s="1" t="s">
        <v>16</v>
      </c>
      <c r="B71" s="1" t="s">
        <v>1</v>
      </c>
      <c r="C71" s="1" t="s">
        <v>13</v>
      </c>
      <c r="D71" s="1" t="s">
        <v>74</v>
      </c>
      <c r="E71" s="1" t="n">
        <v>0.794444444444444</v>
      </c>
      <c r="F71" s="1" t="n">
        <v>0.796695402298851</v>
      </c>
      <c r="G71" s="1" t="n">
        <v>0.795286490768796</v>
      </c>
      <c r="H71" s="1" t="n">
        <v>0.796546213017549</v>
      </c>
      <c r="I71" s="1" t="n">
        <v>0.796695402298851</v>
      </c>
      <c r="J71" s="1" t="n">
        <v>0.0298302179883823</v>
      </c>
    </row>
    <row r="72" customFormat="false" ht="15" hidden="false" customHeight="false" outlineLevel="0" collapsed="false">
      <c r="A72" s="1" t="s">
        <v>68</v>
      </c>
      <c r="B72" s="1" t="s">
        <v>17</v>
      </c>
      <c r="C72" s="1" t="s">
        <v>13</v>
      </c>
      <c r="D72" s="1" t="s">
        <v>74</v>
      </c>
      <c r="E72" s="1" t="n">
        <v>0.788888888888889</v>
      </c>
      <c r="F72" s="1" t="n">
        <v>0.789870689655173</v>
      </c>
      <c r="G72" s="1" t="n">
        <v>0.791405209633183</v>
      </c>
      <c r="H72" s="1" t="n">
        <v>0.798723605745683</v>
      </c>
      <c r="I72" s="1" t="n">
        <v>0.789870689655173</v>
      </c>
      <c r="J72" s="1" t="n">
        <v>0.0275349818385212</v>
      </c>
    </row>
    <row r="73" customFormat="false" ht="15" hidden="false" customHeight="false" outlineLevel="0" collapsed="false">
      <c r="A73" s="1" t="s">
        <v>57</v>
      </c>
      <c r="B73" s="1" t="s">
        <v>26</v>
      </c>
      <c r="C73" s="1" t="s">
        <v>13</v>
      </c>
      <c r="D73" s="1" t="s">
        <v>74</v>
      </c>
      <c r="E73" s="1" t="n">
        <v>0.783333333333333</v>
      </c>
      <c r="F73" s="1" t="n">
        <v>0.785380747126437</v>
      </c>
      <c r="G73" s="1" t="n">
        <v>0.783292380923936</v>
      </c>
      <c r="H73" s="1" t="n">
        <v>0.790165603305283</v>
      </c>
      <c r="I73" s="1" t="n">
        <v>0.785380747126437</v>
      </c>
      <c r="J73" s="1" t="n">
        <v>0.0338015710232855</v>
      </c>
    </row>
    <row r="74" customFormat="false" ht="15" hidden="false" customHeight="false" outlineLevel="0" collapsed="false">
      <c r="A74" s="1" t="s">
        <v>73</v>
      </c>
      <c r="B74" s="1" t="s">
        <v>1</v>
      </c>
      <c r="C74" s="1" t="s">
        <v>13</v>
      </c>
      <c r="D74" s="1" t="s">
        <v>74</v>
      </c>
      <c r="E74" s="1" t="n">
        <v>0.783333333333333</v>
      </c>
      <c r="F74" s="1" t="n">
        <v>0.785380747126437</v>
      </c>
      <c r="G74" s="1" t="n">
        <v>0.783253638432461</v>
      </c>
      <c r="H74" s="1" t="n">
        <v>0.785715063750844</v>
      </c>
      <c r="I74" s="1" t="n">
        <v>0.785380747126437</v>
      </c>
      <c r="J74" s="1" t="n">
        <v>0.0362923586081346</v>
      </c>
    </row>
    <row r="75" customFormat="false" ht="15" hidden="false" customHeight="false" outlineLevel="0" collapsed="false">
      <c r="A75" s="1" t="s">
        <v>43</v>
      </c>
      <c r="B75" s="1" t="s">
        <v>26</v>
      </c>
      <c r="C75" s="1" t="s">
        <v>13</v>
      </c>
      <c r="D75" s="1" t="s">
        <v>74</v>
      </c>
      <c r="E75" s="1" t="n">
        <v>0.781481481481482</v>
      </c>
      <c r="F75" s="1" t="n">
        <v>0.783644636015326</v>
      </c>
      <c r="G75" s="1" t="n">
        <v>0.783112402856706</v>
      </c>
      <c r="H75" s="1" t="n">
        <v>0.788071999913577</v>
      </c>
      <c r="I75" s="1" t="n">
        <v>0.783644636015326</v>
      </c>
      <c r="J75" s="1" t="n">
        <v>0.0183589984718867</v>
      </c>
    </row>
    <row r="76" customFormat="false" ht="15" hidden="false" customHeight="false" outlineLevel="0" collapsed="false">
      <c r="A76" s="1" t="s">
        <v>66</v>
      </c>
      <c r="B76" s="1" t="s">
        <v>17</v>
      </c>
      <c r="C76" s="1" t="s">
        <v>13</v>
      </c>
      <c r="D76" s="1" t="s">
        <v>74</v>
      </c>
      <c r="E76" s="1" t="n">
        <v>0.781481481481482</v>
      </c>
      <c r="F76" s="1" t="n">
        <v>0.784542624521073</v>
      </c>
      <c r="G76" s="1" t="n">
        <v>0.784179615667673</v>
      </c>
      <c r="H76" s="1" t="n">
        <v>0.789212162670417</v>
      </c>
      <c r="I76" s="1" t="n">
        <v>0.784542624521073</v>
      </c>
      <c r="J76" s="1" t="n">
        <v>0.0357756938513536</v>
      </c>
    </row>
    <row r="77" customFormat="false" ht="15" hidden="false" customHeight="false" outlineLevel="0" collapsed="false">
      <c r="A77" s="1" t="s">
        <v>12</v>
      </c>
      <c r="B77" s="1" t="s">
        <v>1</v>
      </c>
      <c r="C77" s="1" t="s">
        <v>13</v>
      </c>
      <c r="D77" s="1" t="s">
        <v>74</v>
      </c>
      <c r="E77" s="1" t="n">
        <v>0.781481481481482</v>
      </c>
      <c r="F77" s="1" t="n">
        <v>0.784003831417624</v>
      </c>
      <c r="G77" s="1" t="n">
        <v>0.782209970639761</v>
      </c>
      <c r="H77" s="1" t="n">
        <v>0.787029925973967</v>
      </c>
      <c r="I77" s="1" t="n">
        <v>0.784003831417624</v>
      </c>
      <c r="J77" s="1" t="n">
        <v>0.0393365497351585</v>
      </c>
    </row>
    <row r="78" customFormat="false" ht="15" hidden="false" customHeight="false" outlineLevel="0" collapsed="false">
      <c r="A78" s="1" t="s">
        <v>15</v>
      </c>
      <c r="B78" s="1" t="s">
        <v>1</v>
      </c>
      <c r="C78" s="1" t="s">
        <v>13</v>
      </c>
      <c r="D78" s="1" t="s">
        <v>74</v>
      </c>
      <c r="E78" s="1" t="n">
        <v>0.781481481481481</v>
      </c>
      <c r="F78" s="1" t="n">
        <v>0.784183429118774</v>
      </c>
      <c r="G78" s="1" t="n">
        <v>0.780604859092035</v>
      </c>
      <c r="H78" s="1" t="n">
        <v>0.78928164797239</v>
      </c>
      <c r="I78" s="1" t="n">
        <v>0.784183429118774</v>
      </c>
      <c r="J78" s="1" t="n">
        <v>0.0281300957039151</v>
      </c>
    </row>
    <row r="79" customFormat="false" ht="15" hidden="false" customHeight="false" outlineLevel="0" collapsed="false">
      <c r="A79" s="1" t="s">
        <v>72</v>
      </c>
      <c r="B79" s="1" t="s">
        <v>1</v>
      </c>
      <c r="C79" s="1" t="s">
        <v>13</v>
      </c>
      <c r="D79" s="1" t="s">
        <v>74</v>
      </c>
      <c r="E79" s="1" t="n">
        <v>0.777777777777778</v>
      </c>
      <c r="F79" s="1" t="n">
        <v>0.778735632183908</v>
      </c>
      <c r="G79" s="1" t="n">
        <v>0.776804695206452</v>
      </c>
      <c r="H79" s="1" t="n">
        <v>0.780355587914495</v>
      </c>
      <c r="I79" s="1" t="n">
        <v>0.778735632183908</v>
      </c>
      <c r="J79" s="1" t="n">
        <v>0.0208981263737059</v>
      </c>
    </row>
    <row r="80" customFormat="false" ht="15" hidden="false" customHeight="false" outlineLevel="0" collapsed="false">
      <c r="A80" s="1" t="s">
        <v>65</v>
      </c>
      <c r="B80" s="1" t="s">
        <v>17</v>
      </c>
      <c r="C80" s="1" t="s">
        <v>13</v>
      </c>
      <c r="D80" s="1" t="s">
        <v>74</v>
      </c>
      <c r="E80" s="1" t="n">
        <v>0.772222222222222</v>
      </c>
      <c r="F80" s="1" t="n">
        <v>0.773706896551724</v>
      </c>
      <c r="G80" s="1" t="n">
        <v>0.775116316689491</v>
      </c>
      <c r="H80" s="1" t="n">
        <v>0.779999415268155</v>
      </c>
      <c r="I80" s="1" t="n">
        <v>0.773706896551724</v>
      </c>
      <c r="J80" s="1" t="n">
        <v>0.0335067435381694</v>
      </c>
    </row>
    <row r="81" customFormat="false" ht="15" hidden="false" customHeight="false" outlineLevel="0" collapsed="false">
      <c r="A81" s="1" t="s">
        <v>20</v>
      </c>
      <c r="B81" s="1" t="s">
        <v>17</v>
      </c>
      <c r="C81" s="1" t="s">
        <v>13</v>
      </c>
      <c r="D81" s="1" t="s">
        <v>74</v>
      </c>
      <c r="E81" s="1" t="n">
        <v>0.768518518518519</v>
      </c>
      <c r="F81" s="1" t="n">
        <v>0.771132662835249</v>
      </c>
      <c r="G81" s="1" t="n">
        <v>0.768417000114225</v>
      </c>
      <c r="H81" s="1" t="n">
        <v>0.769332379870541</v>
      </c>
      <c r="I81" s="1" t="n">
        <v>0.771132662835249</v>
      </c>
      <c r="J81" s="1" t="n">
        <v>0.0367664980983112</v>
      </c>
    </row>
    <row r="82" customFormat="false" ht="15" hidden="false" customHeight="false" outlineLevel="0" collapsed="false">
      <c r="A82" s="1" t="s">
        <v>58</v>
      </c>
      <c r="B82" s="1" t="s">
        <v>26</v>
      </c>
      <c r="C82" s="1" t="s">
        <v>13</v>
      </c>
      <c r="D82" s="1" t="s">
        <v>74</v>
      </c>
      <c r="E82" s="1" t="n">
        <v>0.766666666666667</v>
      </c>
      <c r="F82" s="1" t="n">
        <v>0.77191091954023</v>
      </c>
      <c r="G82" s="1" t="n">
        <v>0.769630440851146</v>
      </c>
      <c r="H82" s="1" t="n">
        <v>0.78091492117029</v>
      </c>
      <c r="I82" s="1" t="n">
        <v>0.77191091954023</v>
      </c>
      <c r="J82" s="1" t="n">
        <v>0.0365246339191132</v>
      </c>
    </row>
    <row r="83" customFormat="false" ht="15" hidden="false" customHeight="false" outlineLevel="0" collapsed="false">
      <c r="A83" s="1" t="s">
        <v>53</v>
      </c>
      <c r="B83" s="1" t="s">
        <v>17</v>
      </c>
      <c r="C83" s="1" t="s">
        <v>13</v>
      </c>
      <c r="D83" s="1" t="s">
        <v>74</v>
      </c>
      <c r="E83" s="1" t="n">
        <v>0.766666666666667</v>
      </c>
      <c r="F83" s="1" t="n">
        <v>0.769216954022989</v>
      </c>
      <c r="G83" s="1" t="n">
        <v>0.765110720505241</v>
      </c>
      <c r="H83" s="1" t="n">
        <v>0.767704216040712</v>
      </c>
      <c r="I83" s="1" t="n">
        <v>0.769216954022989</v>
      </c>
      <c r="J83" s="1" t="n">
        <v>0.0407756444990622</v>
      </c>
    </row>
    <row r="84" customFormat="false" ht="15" hidden="false" customHeight="false" outlineLevel="0" collapsed="false">
      <c r="A84" s="1" t="s">
        <v>26</v>
      </c>
      <c r="B84" s="1" t="s">
        <v>26</v>
      </c>
      <c r="C84" s="1" t="s">
        <v>18</v>
      </c>
      <c r="D84" s="1" t="s">
        <v>74</v>
      </c>
      <c r="E84" s="1" t="n">
        <v>0.762962962962963</v>
      </c>
      <c r="F84" s="1" t="n">
        <v>0.762691570881226</v>
      </c>
      <c r="G84" s="1" t="n">
        <v>0.762044358799232</v>
      </c>
      <c r="H84" s="1" t="n">
        <v>0.77107047075776</v>
      </c>
      <c r="I84" s="1" t="n">
        <v>0.762691570881226</v>
      </c>
      <c r="J84" s="1" t="n">
        <v>0.0551912295871031</v>
      </c>
    </row>
    <row r="85" customFormat="false" ht="15" hidden="false" customHeight="false" outlineLevel="0" collapsed="false">
      <c r="A85" s="1" t="s">
        <v>28</v>
      </c>
      <c r="B85" s="1" t="s">
        <v>26</v>
      </c>
      <c r="C85" s="1" t="s">
        <v>13</v>
      </c>
      <c r="D85" s="1" t="s">
        <v>74</v>
      </c>
      <c r="E85" s="1" t="n">
        <v>0.759259259259259</v>
      </c>
      <c r="F85" s="1" t="n">
        <v>0.761913314176245</v>
      </c>
      <c r="G85" s="1" t="n">
        <v>0.761195263180674</v>
      </c>
      <c r="H85" s="1" t="n">
        <v>0.764848658224877</v>
      </c>
      <c r="I85" s="1" t="n">
        <v>0.761913314176245</v>
      </c>
      <c r="J85" s="1" t="n">
        <v>0.0386906873296454</v>
      </c>
    </row>
    <row r="86" customFormat="false" ht="15" hidden="false" customHeight="false" outlineLevel="0" collapsed="false">
      <c r="A86" s="1" t="s">
        <v>55</v>
      </c>
      <c r="B86" s="1" t="s">
        <v>17</v>
      </c>
      <c r="C86" s="1" t="s">
        <v>13</v>
      </c>
      <c r="D86" s="1" t="s">
        <v>74</v>
      </c>
      <c r="E86" s="1" t="n">
        <v>0.751851851851852</v>
      </c>
      <c r="F86" s="1" t="n">
        <v>0.753172892720306</v>
      </c>
      <c r="G86" s="1" t="n">
        <v>0.755035758509311</v>
      </c>
      <c r="H86" s="1" t="n">
        <v>0.762526250006929</v>
      </c>
      <c r="I86" s="1" t="n">
        <v>0.753172892720306</v>
      </c>
      <c r="J86" s="1" t="n">
        <v>0.0476892833851612</v>
      </c>
    </row>
    <row r="87" customFormat="false" ht="15" hidden="false" customHeight="false" outlineLevel="0" collapsed="false">
      <c r="A87" s="1" t="s">
        <v>30</v>
      </c>
      <c r="B87" s="1" t="s">
        <v>26</v>
      </c>
      <c r="C87" s="1" t="s">
        <v>13</v>
      </c>
      <c r="D87" s="1" t="s">
        <v>74</v>
      </c>
      <c r="E87" s="1" t="n">
        <v>0.75</v>
      </c>
      <c r="F87" s="1" t="n">
        <v>0.752873563218391</v>
      </c>
      <c r="G87" s="1" t="n">
        <v>0.753264246745015</v>
      </c>
      <c r="H87" s="1" t="n">
        <v>0.76091887962803</v>
      </c>
      <c r="I87" s="1" t="n">
        <v>0.752873563218391</v>
      </c>
      <c r="J87" s="1" t="n">
        <v>0.0415882967806434</v>
      </c>
    </row>
    <row r="88" customFormat="false" ht="15" hidden="false" customHeight="false" outlineLevel="0" collapsed="false">
      <c r="A88" s="1" t="s">
        <v>25</v>
      </c>
      <c r="B88" s="1" t="s">
        <v>26</v>
      </c>
      <c r="C88" s="1" t="s">
        <v>13</v>
      </c>
      <c r="D88" s="1" t="s">
        <v>74</v>
      </c>
      <c r="E88" s="1" t="n">
        <v>0.746296296296296</v>
      </c>
      <c r="F88" s="1" t="n">
        <v>0.750119731800766</v>
      </c>
      <c r="G88" s="1" t="n">
        <v>0.748014207695077</v>
      </c>
      <c r="H88" s="1" t="n">
        <v>0.757912218259363</v>
      </c>
      <c r="I88" s="1" t="n">
        <v>0.750119731800766</v>
      </c>
      <c r="J88" s="1" t="n">
        <v>0.0106169701604475</v>
      </c>
    </row>
    <row r="89" customFormat="false" ht="15" hidden="false" customHeight="false" outlineLevel="0" collapsed="false">
      <c r="A89" s="1" t="s">
        <v>39</v>
      </c>
      <c r="B89" s="1" t="s">
        <v>26</v>
      </c>
      <c r="C89" s="1" t="s">
        <v>13</v>
      </c>
      <c r="D89" s="1" t="s">
        <v>74</v>
      </c>
      <c r="E89" s="1" t="n">
        <v>0.746296296296296</v>
      </c>
      <c r="F89" s="1" t="n">
        <v>0.748682950191571</v>
      </c>
      <c r="G89" s="1" t="n">
        <v>0.749187872906592</v>
      </c>
      <c r="H89" s="1" t="n">
        <v>0.755784053962972</v>
      </c>
      <c r="I89" s="1" t="n">
        <v>0.748682950191571</v>
      </c>
      <c r="J89" s="1" t="n">
        <v>0.0480765582031704</v>
      </c>
    </row>
    <row r="90" customFormat="false" ht="15" hidden="false" customHeight="false" outlineLevel="0" collapsed="false">
      <c r="A90" s="1" t="s">
        <v>21</v>
      </c>
      <c r="B90" s="1" t="s">
        <v>17</v>
      </c>
      <c r="C90" s="1" t="s">
        <v>13</v>
      </c>
      <c r="D90" s="1" t="s">
        <v>74</v>
      </c>
      <c r="E90" s="1" t="n">
        <v>0.746296296296296</v>
      </c>
      <c r="F90" s="1" t="n">
        <v>0.74886254789272</v>
      </c>
      <c r="G90" s="1" t="n">
        <v>0.747087359042127</v>
      </c>
      <c r="H90" s="1" t="n">
        <v>0.751243979491706</v>
      </c>
      <c r="I90" s="1" t="n">
        <v>0.74886254789272</v>
      </c>
      <c r="J90" s="1" t="n">
        <v>0.0389596378065405</v>
      </c>
    </row>
    <row r="91" customFormat="false" ht="15" hidden="false" customHeight="false" outlineLevel="0" collapsed="false">
      <c r="A91" s="1" t="s">
        <v>60</v>
      </c>
      <c r="B91" s="1" t="s">
        <v>26</v>
      </c>
      <c r="C91" s="1" t="s">
        <v>13</v>
      </c>
      <c r="D91" s="1" t="s">
        <v>74</v>
      </c>
      <c r="E91" s="1" t="n">
        <v>0.742592592592593</v>
      </c>
      <c r="F91" s="1" t="n">
        <v>0.746288314176245</v>
      </c>
      <c r="G91" s="1" t="n">
        <v>0.746572334120149</v>
      </c>
      <c r="H91" s="1" t="n">
        <v>0.752057289574875</v>
      </c>
      <c r="I91" s="1" t="n">
        <v>0.746288314176245</v>
      </c>
      <c r="J91" s="1" t="n">
        <v>0.0360975909885171</v>
      </c>
    </row>
    <row r="92" customFormat="false" ht="15" hidden="false" customHeight="false" outlineLevel="0" collapsed="false">
      <c r="A92" s="1" t="s">
        <v>67</v>
      </c>
      <c r="B92" s="1" t="s">
        <v>17</v>
      </c>
      <c r="C92" s="1" t="s">
        <v>13</v>
      </c>
      <c r="D92" s="1" t="s">
        <v>74</v>
      </c>
      <c r="E92" s="1" t="n">
        <v>0.740740740740741</v>
      </c>
      <c r="F92" s="1" t="n">
        <v>0.743474616858238</v>
      </c>
      <c r="G92" s="1" t="n">
        <v>0.743951733726957</v>
      </c>
      <c r="H92" s="1" t="n">
        <v>0.750301049571085</v>
      </c>
      <c r="I92" s="1" t="n">
        <v>0.743474616858238</v>
      </c>
      <c r="J92" s="1" t="n">
        <v>0.0317057376842049</v>
      </c>
    </row>
    <row r="93" customFormat="false" ht="15" hidden="false" customHeight="false" outlineLevel="0" collapsed="false">
      <c r="A93" s="1" t="s">
        <v>38</v>
      </c>
      <c r="B93" s="1" t="s">
        <v>26</v>
      </c>
      <c r="C93" s="1" t="s">
        <v>13</v>
      </c>
      <c r="D93" s="1" t="s">
        <v>74</v>
      </c>
      <c r="E93" s="1" t="n">
        <v>0.738888888888889</v>
      </c>
      <c r="F93" s="1" t="n">
        <v>0.743354885057471</v>
      </c>
      <c r="G93" s="1" t="n">
        <v>0.743900808315846</v>
      </c>
      <c r="H93" s="1" t="n">
        <v>0.755441842084129</v>
      </c>
      <c r="I93" s="1" t="n">
        <v>0.743354885057471</v>
      </c>
      <c r="J93" s="1" t="n">
        <v>0.0242975544771163</v>
      </c>
    </row>
    <row r="94" customFormat="false" ht="15" hidden="false" customHeight="false" outlineLevel="0" collapsed="false">
      <c r="A94" s="1" t="s">
        <v>56</v>
      </c>
      <c r="B94" s="1" t="s">
        <v>17</v>
      </c>
      <c r="C94" s="1" t="s">
        <v>13</v>
      </c>
      <c r="D94" s="1" t="s">
        <v>74</v>
      </c>
      <c r="E94" s="1" t="n">
        <v>0.735185185185185</v>
      </c>
      <c r="F94" s="1" t="n">
        <v>0.73952346743295</v>
      </c>
      <c r="G94" s="1" t="n">
        <v>0.735582556236064</v>
      </c>
      <c r="H94" s="1" t="n">
        <v>0.741261031267923</v>
      </c>
      <c r="I94" s="1" t="n">
        <v>0.73952346743295</v>
      </c>
      <c r="J94" s="1" t="n">
        <v>0.063879801079012</v>
      </c>
    </row>
    <row r="95" customFormat="false" ht="15" hidden="false" customHeight="false" outlineLevel="0" collapsed="false">
      <c r="A95" s="1" t="s">
        <v>23</v>
      </c>
      <c r="B95" s="1" t="s">
        <v>23</v>
      </c>
      <c r="C95" s="1" t="s">
        <v>18</v>
      </c>
      <c r="D95" s="1" t="s">
        <v>74</v>
      </c>
      <c r="E95" s="1" t="n">
        <v>0.733333333333333</v>
      </c>
      <c r="F95" s="1" t="n">
        <v>0.735452586206897</v>
      </c>
      <c r="G95" s="1" t="n">
        <v>0.735302362524641</v>
      </c>
      <c r="H95" s="1" t="n">
        <v>0.746453934118831</v>
      </c>
      <c r="I95" s="1" t="n">
        <v>0.735452586206897</v>
      </c>
      <c r="J95" s="1" t="n">
        <v>0.0389330413322099</v>
      </c>
    </row>
    <row r="96" customFormat="false" ht="15" hidden="false" customHeight="false" outlineLevel="0" collapsed="false">
      <c r="A96" s="1" t="s">
        <v>48</v>
      </c>
      <c r="B96" s="1" t="s">
        <v>26</v>
      </c>
      <c r="C96" s="1" t="s">
        <v>13</v>
      </c>
      <c r="D96" s="1" t="s">
        <v>74</v>
      </c>
      <c r="E96" s="1" t="n">
        <v>0.733333333333333</v>
      </c>
      <c r="F96" s="1" t="n">
        <v>0.735452586206897</v>
      </c>
      <c r="G96" s="1" t="n">
        <v>0.73722659787724</v>
      </c>
      <c r="H96" s="1" t="n">
        <v>0.741758090824183</v>
      </c>
      <c r="I96" s="1" t="n">
        <v>0.735452586206897</v>
      </c>
      <c r="J96" s="1" t="n">
        <v>0.0301320595019759</v>
      </c>
    </row>
    <row r="97" customFormat="false" ht="15" hidden="false" customHeight="false" outlineLevel="0" collapsed="false">
      <c r="A97" s="1" t="s">
        <v>17</v>
      </c>
      <c r="B97" s="1" t="s">
        <v>17</v>
      </c>
      <c r="C97" s="1" t="s">
        <v>18</v>
      </c>
      <c r="D97" s="1" t="s">
        <v>74</v>
      </c>
      <c r="E97" s="1" t="n">
        <v>0.733333333333333</v>
      </c>
      <c r="F97" s="1" t="n">
        <v>0.73455459770115</v>
      </c>
      <c r="G97" s="1" t="n">
        <v>0.736392933437905</v>
      </c>
      <c r="H97" s="1" t="n">
        <v>0.740786647229454</v>
      </c>
      <c r="I97" s="1" t="n">
        <v>0.73455459770115</v>
      </c>
      <c r="J97" s="1" t="n">
        <v>0.0412516942556653</v>
      </c>
    </row>
    <row r="98" customFormat="false" ht="15" hidden="false" customHeight="false" outlineLevel="0" collapsed="false">
      <c r="A98" s="1" t="s">
        <v>54</v>
      </c>
      <c r="B98" s="1" t="s">
        <v>17</v>
      </c>
      <c r="C98" s="1" t="s">
        <v>13</v>
      </c>
      <c r="D98" s="1" t="s">
        <v>74</v>
      </c>
      <c r="E98" s="1" t="n">
        <v>0.72962962962963</v>
      </c>
      <c r="F98" s="1" t="n">
        <v>0.730902777777778</v>
      </c>
      <c r="G98" s="1" t="n">
        <v>0.73058596867021</v>
      </c>
      <c r="H98" s="1" t="n">
        <v>0.739527804659943</v>
      </c>
      <c r="I98" s="1" t="n">
        <v>0.730902777777778</v>
      </c>
      <c r="J98" s="1" t="n">
        <v>0.0211504258099221</v>
      </c>
    </row>
    <row r="99" customFormat="false" ht="15" hidden="false" customHeight="false" outlineLevel="0" collapsed="false">
      <c r="A99" s="1" t="s">
        <v>19</v>
      </c>
      <c r="B99" s="1" t="s">
        <v>17</v>
      </c>
      <c r="C99" s="1" t="s">
        <v>13</v>
      </c>
      <c r="D99" s="1" t="s">
        <v>74</v>
      </c>
      <c r="E99" s="1" t="n">
        <v>0.727777777777778</v>
      </c>
      <c r="F99" s="1" t="n">
        <v>0.728627873563219</v>
      </c>
      <c r="G99" s="1" t="n">
        <v>0.729688166992531</v>
      </c>
      <c r="H99" s="1" t="n">
        <v>0.737150639909898</v>
      </c>
      <c r="I99" s="1" t="n">
        <v>0.728627873563219</v>
      </c>
      <c r="J99" s="1" t="n">
        <v>0.0262741395495498</v>
      </c>
    </row>
    <row r="100" customFormat="false" ht="15" hidden="false" customHeight="false" outlineLevel="0" collapsed="false">
      <c r="A100" s="1" t="s">
        <v>27</v>
      </c>
      <c r="B100" s="1" t="s">
        <v>23</v>
      </c>
      <c r="C100" s="1" t="s">
        <v>13</v>
      </c>
      <c r="D100" s="1" t="s">
        <v>74</v>
      </c>
      <c r="E100" s="1" t="n">
        <v>0.727777777777778</v>
      </c>
      <c r="F100" s="1" t="n">
        <v>0.729166666666667</v>
      </c>
      <c r="G100" s="1" t="n">
        <v>0.728247650250892</v>
      </c>
      <c r="H100" s="1" t="n">
        <v>0.732564743291615</v>
      </c>
      <c r="I100" s="1" t="n">
        <v>0.729166666666667</v>
      </c>
      <c r="J100" s="1" t="n">
        <v>0.0695727022023205</v>
      </c>
    </row>
    <row r="101" customFormat="false" ht="15" hidden="false" customHeight="false" outlineLevel="0" collapsed="false">
      <c r="A101" s="1" t="s">
        <v>59</v>
      </c>
      <c r="B101" s="1" t="s">
        <v>26</v>
      </c>
      <c r="C101" s="1" t="s">
        <v>13</v>
      </c>
      <c r="D101" s="1" t="s">
        <v>74</v>
      </c>
      <c r="E101" s="1" t="n">
        <v>0.725925925925926</v>
      </c>
      <c r="F101" s="1" t="n">
        <v>0.72922653256705</v>
      </c>
      <c r="G101" s="1" t="n">
        <v>0.728202812212848</v>
      </c>
      <c r="H101" s="1" t="n">
        <v>0.737521334891456</v>
      </c>
      <c r="I101" s="1" t="n">
        <v>0.72922653256705</v>
      </c>
      <c r="J101" s="1" t="n">
        <v>0.0415941538202734</v>
      </c>
    </row>
    <row r="102" customFormat="false" ht="15" hidden="false" customHeight="false" outlineLevel="0" collapsed="false">
      <c r="A102" s="1" t="s">
        <v>44</v>
      </c>
      <c r="B102" s="1" t="s">
        <v>23</v>
      </c>
      <c r="C102" s="1" t="s">
        <v>13</v>
      </c>
      <c r="D102" s="1" t="s">
        <v>74</v>
      </c>
      <c r="E102" s="1" t="n">
        <v>0.718518518518518</v>
      </c>
      <c r="F102" s="1" t="n">
        <v>0.721563697318008</v>
      </c>
      <c r="G102" s="1" t="n">
        <v>0.717631903069674</v>
      </c>
      <c r="H102" s="1" t="n">
        <v>0.721395263866206</v>
      </c>
      <c r="I102" s="1" t="n">
        <v>0.721563697318008</v>
      </c>
      <c r="J102" s="1" t="n">
        <v>0.0440617889291393</v>
      </c>
    </row>
    <row r="103" customFormat="false" ht="15" hidden="false" customHeight="false" outlineLevel="0" collapsed="false">
      <c r="A103" s="1" t="s">
        <v>61</v>
      </c>
      <c r="B103" s="1" t="s">
        <v>23</v>
      </c>
      <c r="C103" s="1" t="s">
        <v>13</v>
      </c>
      <c r="D103" s="1" t="s">
        <v>74</v>
      </c>
      <c r="E103" s="1" t="n">
        <v>0.716666666666667</v>
      </c>
      <c r="F103" s="1" t="n">
        <v>0.720905172413793</v>
      </c>
      <c r="G103" s="1" t="n">
        <v>0.717818132463377</v>
      </c>
      <c r="H103" s="1" t="n">
        <v>0.722592583136202</v>
      </c>
      <c r="I103" s="1" t="n">
        <v>0.720905172413793</v>
      </c>
      <c r="J103" s="1" t="n">
        <v>0.0473361424969511</v>
      </c>
    </row>
    <row r="104" customFormat="false" ht="15" hidden="false" customHeight="false" outlineLevel="0" collapsed="false">
      <c r="A104" s="1" t="s">
        <v>50</v>
      </c>
      <c r="B104" s="1" t="s">
        <v>23</v>
      </c>
      <c r="C104" s="1" t="s">
        <v>13</v>
      </c>
      <c r="D104" s="1" t="s">
        <v>74</v>
      </c>
      <c r="E104" s="1" t="n">
        <v>0.703703703703704</v>
      </c>
      <c r="F104" s="1" t="n">
        <v>0.706417624521073</v>
      </c>
      <c r="G104" s="1" t="n">
        <v>0.706399374991629</v>
      </c>
      <c r="H104" s="1" t="n">
        <v>0.712295807172599</v>
      </c>
      <c r="I104" s="1" t="n">
        <v>0.706417624521073</v>
      </c>
      <c r="J104" s="1" t="n">
        <v>0.0496430280308249</v>
      </c>
    </row>
    <row r="105" customFormat="false" ht="15" hidden="false" customHeight="false" outlineLevel="0" collapsed="false">
      <c r="A105" s="1" t="s">
        <v>63</v>
      </c>
      <c r="B105" s="1" t="s">
        <v>23</v>
      </c>
      <c r="C105" s="1" t="s">
        <v>13</v>
      </c>
      <c r="D105" s="1" t="s">
        <v>74</v>
      </c>
      <c r="E105" s="1" t="n">
        <v>0.701851851851852</v>
      </c>
      <c r="F105" s="1" t="n">
        <v>0.704142720306514</v>
      </c>
      <c r="G105" s="1" t="n">
        <v>0.706773340372146</v>
      </c>
      <c r="H105" s="1" t="n">
        <v>0.712181125409172</v>
      </c>
      <c r="I105" s="1" t="n">
        <v>0.704142720306514</v>
      </c>
      <c r="J105" s="1" t="n">
        <v>0.0402286652205456</v>
      </c>
    </row>
    <row r="106" customFormat="false" ht="15" hidden="false" customHeight="false" outlineLevel="0" collapsed="false">
      <c r="A106" s="1" t="s">
        <v>24</v>
      </c>
      <c r="B106" s="1" t="s">
        <v>23</v>
      </c>
      <c r="C106" s="1" t="s">
        <v>13</v>
      </c>
      <c r="D106" s="1" t="s">
        <v>74</v>
      </c>
      <c r="E106" s="1" t="n">
        <v>0.7</v>
      </c>
      <c r="F106" s="1" t="n">
        <v>0.703484195402299</v>
      </c>
      <c r="G106" s="1" t="n">
        <v>0.704370109972525</v>
      </c>
      <c r="H106" s="1" t="n">
        <v>0.708400349698665</v>
      </c>
      <c r="I106" s="1" t="n">
        <v>0.703484195402299</v>
      </c>
      <c r="J106" s="1" t="n">
        <v>0.0482182704479107</v>
      </c>
    </row>
    <row r="107" customFormat="false" ht="15" hidden="false" customHeight="false" outlineLevel="0" collapsed="false">
      <c r="A107" s="1" t="s">
        <v>46</v>
      </c>
      <c r="B107" s="1" t="s">
        <v>23</v>
      </c>
      <c r="C107" s="1" t="s">
        <v>13</v>
      </c>
      <c r="D107" s="1" t="s">
        <v>74</v>
      </c>
      <c r="E107" s="1" t="n">
        <v>0.690740740740741</v>
      </c>
      <c r="F107" s="1" t="n">
        <v>0.694624042145594</v>
      </c>
      <c r="G107" s="1" t="n">
        <v>0.693146205614278</v>
      </c>
      <c r="H107" s="1" t="n">
        <v>0.693992629278445</v>
      </c>
      <c r="I107" s="1" t="n">
        <v>0.694624042145594</v>
      </c>
      <c r="J107" s="1" t="n">
        <v>0.032947122362657</v>
      </c>
    </row>
    <row r="108" customFormat="false" ht="15" hidden="false" customHeight="false" outlineLevel="0" collapsed="false">
      <c r="A108" s="1" t="s">
        <v>45</v>
      </c>
      <c r="B108" s="1" t="s">
        <v>1</v>
      </c>
      <c r="C108" s="1" t="s">
        <v>13</v>
      </c>
      <c r="D108" s="1" t="s">
        <v>74</v>
      </c>
      <c r="E108" s="1" t="n">
        <v>0.688888888888889</v>
      </c>
      <c r="F108" s="1" t="n">
        <v>0.702945402298851</v>
      </c>
      <c r="G108" s="1" t="n">
        <v>0.636327957681684</v>
      </c>
      <c r="H108" s="1" t="n">
        <v>0.61599878728698</v>
      </c>
      <c r="I108" s="1" t="n">
        <v>0.702945402298851</v>
      </c>
      <c r="J108" s="1" t="n">
        <v>0.104022760261331</v>
      </c>
    </row>
    <row r="109" customFormat="false" ht="15" hidden="false" customHeight="false" outlineLevel="0" collapsed="false">
      <c r="A109" s="1" t="s">
        <v>52</v>
      </c>
      <c r="B109" s="1" t="s">
        <v>23</v>
      </c>
      <c r="C109" s="1" t="s">
        <v>13</v>
      </c>
      <c r="D109" s="1" t="s">
        <v>74</v>
      </c>
      <c r="E109" s="1" t="n">
        <v>0.683333333333333</v>
      </c>
      <c r="F109" s="1" t="n">
        <v>0.686422413793103</v>
      </c>
      <c r="G109" s="1" t="n">
        <v>0.686545285700076</v>
      </c>
      <c r="H109" s="1" t="n">
        <v>0.689634713287356</v>
      </c>
      <c r="I109" s="1" t="n">
        <v>0.686422413793103</v>
      </c>
      <c r="J109" s="1" t="n">
        <v>0.0426260187614821</v>
      </c>
    </row>
    <row r="110" customFormat="false" ht="15" hidden="false" customHeight="false" outlineLevel="0" collapsed="false">
      <c r="A110" s="1" t="s">
        <v>36</v>
      </c>
      <c r="B110" s="1" t="s">
        <v>26</v>
      </c>
      <c r="C110" s="1" t="s">
        <v>13</v>
      </c>
      <c r="D110" s="1" t="s">
        <v>74</v>
      </c>
      <c r="E110" s="1" t="n">
        <v>0.677777777777778</v>
      </c>
      <c r="F110" s="1" t="n">
        <v>0.666666666666667</v>
      </c>
      <c r="G110" s="1" t="n">
        <v>0.561344786828327</v>
      </c>
      <c r="H110" s="1" t="n">
        <v>0.553065120363122</v>
      </c>
      <c r="I110" s="1" t="n">
        <v>0.666666666666667</v>
      </c>
      <c r="J110" s="1" t="n">
        <v>0.0094804518095476</v>
      </c>
    </row>
    <row r="111" customFormat="false" ht="15" hidden="false" customHeight="false" outlineLevel="0" collapsed="false">
      <c r="A111" s="1" t="s">
        <v>69</v>
      </c>
      <c r="B111" s="1" t="s">
        <v>1</v>
      </c>
      <c r="C111" s="1" t="s">
        <v>13</v>
      </c>
      <c r="D111" s="1" t="s">
        <v>74</v>
      </c>
      <c r="E111" s="1" t="n">
        <v>0.677777777777778</v>
      </c>
      <c r="F111" s="1" t="n">
        <v>0.666666666666667</v>
      </c>
      <c r="G111" s="1" t="n">
        <v>0.560093730548006</v>
      </c>
      <c r="H111" s="1" t="n">
        <v>0.501366120218579</v>
      </c>
      <c r="I111" s="1" t="n">
        <v>0.666666666666667</v>
      </c>
      <c r="J111" s="1" t="n">
        <v>0.0011762986704244</v>
      </c>
    </row>
    <row r="112" customFormat="false" ht="15" hidden="false" customHeight="false" outlineLevel="0" collapsed="false">
      <c r="A112" s="1" t="s">
        <v>33</v>
      </c>
      <c r="B112" s="1" t="s">
        <v>1</v>
      </c>
      <c r="C112" s="1" t="s">
        <v>13</v>
      </c>
      <c r="D112" s="1" t="s">
        <v>74</v>
      </c>
      <c r="E112" s="1" t="n">
        <v>0.675925925925926</v>
      </c>
      <c r="F112" s="1" t="n">
        <v>0.664750957854406</v>
      </c>
      <c r="G112" s="1" t="n">
        <v>0.558744599062016</v>
      </c>
      <c r="H112" s="1" t="n">
        <v>0.500952471417015</v>
      </c>
      <c r="I112" s="1" t="n">
        <v>0.664750957854406</v>
      </c>
      <c r="J112" s="1" t="n">
        <v>0.0039553313239812</v>
      </c>
    </row>
    <row r="113" customFormat="false" ht="15" hidden="false" customHeight="false" outlineLevel="0" collapsed="false">
      <c r="A113" s="1" t="s">
        <v>62</v>
      </c>
      <c r="B113" s="1" t="s">
        <v>23</v>
      </c>
      <c r="C113" s="1" t="s">
        <v>13</v>
      </c>
      <c r="D113" s="1" t="s">
        <v>74</v>
      </c>
      <c r="E113" s="1" t="n">
        <v>0.672222222222222</v>
      </c>
      <c r="F113" s="1" t="n">
        <v>0.678699712643678</v>
      </c>
      <c r="G113" s="1" t="n">
        <v>0.674344950895123</v>
      </c>
      <c r="H113" s="1" t="n">
        <v>0.677067998403376</v>
      </c>
      <c r="I113" s="1" t="n">
        <v>0.678699712643678</v>
      </c>
      <c r="J113" s="1" t="n">
        <v>0.0504548875780644</v>
      </c>
    </row>
    <row r="114" customFormat="false" ht="15" hidden="false" customHeight="false" outlineLevel="0" collapsed="false">
      <c r="A114" s="1" t="s">
        <v>34</v>
      </c>
      <c r="B114" s="1" t="s">
        <v>17</v>
      </c>
      <c r="C114" s="1" t="s">
        <v>13</v>
      </c>
      <c r="D114" s="1" t="s">
        <v>74</v>
      </c>
      <c r="E114" s="1" t="n">
        <v>0.672222222222222</v>
      </c>
      <c r="F114" s="1" t="n">
        <v>0.661817528735632</v>
      </c>
      <c r="G114" s="1" t="n">
        <v>0.567051981849284</v>
      </c>
      <c r="H114" s="1" t="n">
        <v>0.562960757816676</v>
      </c>
      <c r="I114" s="1" t="n">
        <v>0.661817528735632</v>
      </c>
      <c r="J114" s="1" t="n">
        <v>0.0275972329106516</v>
      </c>
    </row>
    <row r="115" customFormat="false" ht="15" hidden="false" customHeight="false" outlineLevel="0" collapsed="false">
      <c r="A115" s="1" t="s">
        <v>35</v>
      </c>
      <c r="B115" s="1" t="s">
        <v>26</v>
      </c>
      <c r="C115" s="1" t="s">
        <v>13</v>
      </c>
      <c r="D115" s="1" t="s">
        <v>74</v>
      </c>
      <c r="E115" s="1" t="n">
        <v>0.668518518518519</v>
      </c>
      <c r="F115" s="1" t="n">
        <v>0.657626915708812</v>
      </c>
      <c r="G115" s="1" t="n">
        <v>0.554314989970619</v>
      </c>
      <c r="H115" s="1" t="n">
        <v>0.548375344666407</v>
      </c>
      <c r="I115" s="1" t="n">
        <v>0.657626915708812</v>
      </c>
      <c r="J115" s="1" t="n">
        <v>0.0151574114810284</v>
      </c>
    </row>
    <row r="116" customFormat="false" ht="15" hidden="false" customHeight="false" outlineLevel="0" collapsed="false">
      <c r="A116" s="1" t="s">
        <v>37</v>
      </c>
      <c r="B116" s="1" t="s">
        <v>23</v>
      </c>
      <c r="C116" s="1" t="s">
        <v>13</v>
      </c>
      <c r="D116" s="1" t="s">
        <v>74</v>
      </c>
      <c r="E116" s="1" t="n">
        <v>0.661111111111111</v>
      </c>
      <c r="F116" s="1" t="n">
        <v>0.650862068965517</v>
      </c>
      <c r="G116" s="1" t="n">
        <v>0.554443306694057</v>
      </c>
      <c r="H116" s="1" t="n">
        <v>0.5907631471526</v>
      </c>
      <c r="I116" s="1" t="n">
        <v>0.650862068965517</v>
      </c>
      <c r="J116" s="1" t="n">
        <v>0.0224323821103241</v>
      </c>
    </row>
    <row r="117" customFormat="false" ht="15" hidden="false" customHeight="false" outlineLevel="0" collapsed="false">
      <c r="A117" s="1" t="s">
        <v>29</v>
      </c>
      <c r="B117" s="1" t="s">
        <v>17</v>
      </c>
      <c r="C117" s="1" t="s">
        <v>13</v>
      </c>
      <c r="D117" s="1" t="s">
        <v>74</v>
      </c>
      <c r="E117" s="1" t="n">
        <v>0.657407407407407</v>
      </c>
      <c r="F117" s="1" t="n">
        <v>0.647569444444444</v>
      </c>
      <c r="G117" s="1" t="n">
        <v>0.533818738216723</v>
      </c>
      <c r="H117" s="1" t="n">
        <v>0.461144233815974</v>
      </c>
      <c r="I117" s="1" t="n">
        <v>0.647569444444444</v>
      </c>
      <c r="J117" s="1" t="n">
        <v>0.0169037904934505</v>
      </c>
    </row>
    <row r="118" customFormat="false" ht="15" hidden="false" customHeight="false" outlineLevel="0" collapsed="false">
      <c r="A118" s="1" t="s">
        <v>64</v>
      </c>
      <c r="B118" s="1" t="s">
        <v>23</v>
      </c>
      <c r="C118" s="1" t="s">
        <v>13</v>
      </c>
      <c r="D118" s="1" t="s">
        <v>74</v>
      </c>
      <c r="E118" s="1" t="n">
        <v>0.651851851851852</v>
      </c>
      <c r="F118" s="1" t="n">
        <v>0.653855363984674</v>
      </c>
      <c r="G118" s="1" t="n">
        <v>0.653168265190493</v>
      </c>
      <c r="H118" s="1" t="n">
        <v>0.661585542763079</v>
      </c>
      <c r="I118" s="1" t="n">
        <v>0.653855363984674</v>
      </c>
      <c r="J118" s="1" t="n">
        <v>0.0355276073262018</v>
      </c>
    </row>
    <row r="119" customFormat="false" ht="15" hidden="false" customHeight="false" outlineLevel="0" collapsed="false">
      <c r="A119" s="1" t="s">
        <v>22</v>
      </c>
      <c r="B119" s="1" t="s">
        <v>23</v>
      </c>
      <c r="C119" s="1" t="s">
        <v>13</v>
      </c>
      <c r="D119" s="1" t="s">
        <v>74</v>
      </c>
      <c r="E119" s="1" t="n">
        <v>0.65</v>
      </c>
      <c r="F119" s="1" t="n">
        <v>0.655711206896552</v>
      </c>
      <c r="G119" s="1" t="n">
        <v>0.651111333058114</v>
      </c>
      <c r="H119" s="1" t="n">
        <v>0.653714947853976</v>
      </c>
      <c r="I119" s="1" t="n">
        <v>0.655711206896552</v>
      </c>
      <c r="J119" s="1" t="n">
        <v>0.0266806588750818</v>
      </c>
    </row>
    <row r="120" customFormat="false" ht="15" hidden="false" customHeight="false" outlineLevel="0" collapsed="false">
      <c r="A120" s="1" t="s">
        <v>41</v>
      </c>
      <c r="B120" s="1" t="s">
        <v>23</v>
      </c>
      <c r="C120" s="1" t="s">
        <v>13</v>
      </c>
      <c r="D120" s="1" t="s">
        <v>74</v>
      </c>
      <c r="E120" s="1" t="n">
        <v>0.638888888888889</v>
      </c>
      <c r="F120" s="1" t="n">
        <v>0.628591954022988</v>
      </c>
      <c r="G120" s="1" t="n">
        <v>0.534464950243364</v>
      </c>
      <c r="H120" s="1" t="n">
        <v>0.49779815610395</v>
      </c>
      <c r="I120" s="1" t="n">
        <v>0.628591954022988</v>
      </c>
      <c r="J120" s="1" t="n">
        <v>0.0282217523661586</v>
      </c>
    </row>
    <row r="121" customFormat="false" ht="15" hidden="false" customHeight="false" outlineLevel="0" collapsed="false">
      <c r="A121" s="1" t="s">
        <v>47</v>
      </c>
      <c r="B121" s="1" t="s">
        <v>23</v>
      </c>
      <c r="C121" s="1" t="s">
        <v>13</v>
      </c>
      <c r="D121" s="1" t="s">
        <v>74</v>
      </c>
      <c r="E121" s="1" t="n">
        <v>0.622222222222222</v>
      </c>
      <c r="F121" s="1" t="n">
        <v>0.62805316091954</v>
      </c>
      <c r="G121" s="1" t="n">
        <v>0.564317345547459</v>
      </c>
      <c r="H121" s="1" t="n">
        <v>0.603718584775537</v>
      </c>
      <c r="I121" s="1" t="n">
        <v>0.62805316091954</v>
      </c>
      <c r="J121" s="1" t="n">
        <v>0.0901052601841423</v>
      </c>
    </row>
    <row r="122" customFormat="false" ht="15" hidden="false" customHeight="false" outlineLevel="0" collapsed="false">
      <c r="A122" s="1" t="s">
        <v>51</v>
      </c>
      <c r="B122" s="1" t="s">
        <v>26</v>
      </c>
      <c r="C122" s="1" t="s">
        <v>13</v>
      </c>
      <c r="D122" s="1" t="s">
        <v>74</v>
      </c>
      <c r="E122" s="1" t="n">
        <v>0.614814814814815</v>
      </c>
      <c r="F122" s="1" t="n">
        <v>0.630627394636015</v>
      </c>
      <c r="G122" s="1" t="n">
        <v>0.536047755602428</v>
      </c>
      <c r="H122" s="1" t="n">
        <v>0.632803939272933</v>
      </c>
      <c r="I122" s="1" t="n">
        <v>0.630627394636015</v>
      </c>
      <c r="J122" s="1" t="n">
        <v>0.051238149122661</v>
      </c>
    </row>
    <row r="123" customFormat="false" ht="15" hidden="false" customHeight="false" outlineLevel="0" collapsed="false">
      <c r="A123" s="1" t="s">
        <v>49</v>
      </c>
      <c r="B123" s="1" t="s">
        <v>17</v>
      </c>
      <c r="C123" s="1" t="s">
        <v>13</v>
      </c>
      <c r="D123" s="1" t="s">
        <v>74</v>
      </c>
      <c r="E123" s="1" t="n">
        <v>0.52962962962963</v>
      </c>
      <c r="F123" s="1" t="n">
        <v>0.543223180076628</v>
      </c>
      <c r="G123" s="1" t="n">
        <v>0.446999423262948</v>
      </c>
      <c r="H123" s="1" t="n">
        <v>0.464010720462333</v>
      </c>
      <c r="I123" s="1" t="n">
        <v>0.543223180076628</v>
      </c>
      <c r="J123" s="1" t="n">
        <v>0.21212749616529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I3" activeCellId="0" sqref="I3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29.12"/>
    <col collapsed="false" customWidth="true" hidden="false" outlineLevel="0" max="2" min="2" style="1" width="19.75"/>
    <col collapsed="false" customWidth="true" hidden="false" outlineLevel="0" max="16384" min="16382" style="1" width="11.53"/>
  </cols>
  <sheetData>
    <row r="1" customFormat="false" ht="13.8" hidden="false" customHeight="false" outlineLevel="0" collapsed="false">
      <c r="A1" s="2" t="s">
        <v>1</v>
      </c>
      <c r="B1" s="2"/>
      <c r="C1" s="2"/>
      <c r="D1" s="2"/>
      <c r="E1" s="2"/>
      <c r="F1" s="2"/>
      <c r="G1" s="2"/>
    </row>
    <row r="2" customFormat="false" ht="13.8" hidden="false" customHeight="false" outlineLevel="0" collapsed="false">
      <c r="A2" s="4" t="s">
        <v>2</v>
      </c>
      <c r="B2" s="4" t="s">
        <v>4</v>
      </c>
      <c r="C2" s="4" t="s">
        <v>5</v>
      </c>
      <c r="D2" s="4" t="s">
        <v>6</v>
      </c>
      <c r="E2" s="4" t="s">
        <v>127</v>
      </c>
      <c r="F2" s="4" t="s">
        <v>9</v>
      </c>
      <c r="G2" s="4" t="s">
        <v>10</v>
      </c>
    </row>
    <row r="3" customFormat="false" ht="13.8" hidden="false" customHeight="false" outlineLevel="0" collapsed="false">
      <c r="A3" s="1" t="s">
        <v>123</v>
      </c>
      <c r="B3" s="1" t="str">
        <f aca="false">IF(  OR(ISNUMBER(SEARCH("SMOTEENN",A3)),ISNUMBER(SEARCH("SMOTETomek",A3))),  "Hybrid",  IF(   AND(    OR(ISNUMBER(SEARCH("SMOTE",A3)),ISNUMBER(SEARCH("SVMSMOTE",A3)),ISNUMBER(SEARCH("RandomOverSampler",A3)),ISNUMBER(SEARCH("BorderlineSmote",A3))),    OR(ISNUMBER(SEARCH("RandomUnderSampler",A3)),ISNUMBER(SEARCH("ClusterCentroids",A3)),ISNUMBER(SEARCH("OneSidedSelection",A3)))   ),   "Over+Under",   IF(    OR(ISNUMBER(SEARCH("SMOTE",A3)),ISNUMBER(SEARCH("SVMSMOTE",A3)),ISNUMBER(SEARCH("RandomOverSampler",A3)),ISNUMBER(SEARCH("BorderlineSmote",A3))),    "Oversampling",    IF(     OR(ISNUMBER(SEARCH("RandomUnderSampler",A3)),ISNUMBER(SEARCH("ClusterCentroids",A3)),ISNUMBER(SEARCH("OneSidedSelection",A3))),     "Undersampler",     "Czysty"    )   )  ) )</f>
        <v>Oversampling</v>
      </c>
      <c r="C3" s="1" t="s">
        <v>14</v>
      </c>
      <c r="D3" s="1" t="n">
        <v>0.8037</v>
      </c>
      <c r="E3" s="1" t="n">
        <v>0.8032</v>
      </c>
      <c r="F3" s="1" t="n">
        <v>0.8068</v>
      </c>
      <c r="G3" s="1" t="n">
        <v>0.8048</v>
      </c>
      <c r="I3" s="0" t="s">
        <v>101</v>
      </c>
      <c r="L3" s="1"/>
      <c r="M3" s="1"/>
      <c r="N3" s="1"/>
    </row>
    <row r="4" customFormat="false" ht="13.8" hidden="false" customHeight="false" outlineLevel="0" collapsed="false">
      <c r="A4" s="1" t="s">
        <v>1</v>
      </c>
      <c r="B4" s="1" t="str">
        <f aca="false">IF(  OR(ISNUMBER(SEARCH("SMOTEENN",A4)),ISNUMBER(SEARCH("SMOTETomek",A4))),  "Hybrid",  IF(   AND(    OR(ISNUMBER(SEARCH("SMOTE",A4)),ISNUMBER(SEARCH("SVMSMOTE",A4)),ISNUMBER(SEARCH("RandomOverSampler",A4)),ISNUMBER(SEARCH("BorderlineSmote",A4))),    OR(ISNUMBER(SEARCH("RandomUnderSampler",A4)),ISNUMBER(SEARCH("ClusterCentroids",A4)),ISNUMBER(SEARCH("OneSidedSelection",A4)))   ),   "Over+Under",   IF(    OR(ISNUMBER(SEARCH("SMOTE",A4)),ISNUMBER(SEARCH("SVMSMOTE",A4)),ISNUMBER(SEARCH("RandomOverSampler",A4)),ISNUMBER(SEARCH("BorderlineSmote",A4))),    "Oversampling",    IF(     OR(ISNUMBER(SEARCH("RandomUnderSampler",A4)),ISNUMBER(SEARCH("ClusterCentroids",A4)),ISNUMBER(SEARCH("OneSidedSelection",A4))),     "Undersampler",     "Czysty"    )   )  ) )</f>
        <v>Czysty</v>
      </c>
      <c r="C4" s="1" t="s">
        <v>14</v>
      </c>
      <c r="D4" s="1" t="n">
        <v>0.8019</v>
      </c>
      <c r="E4" s="1" t="n">
        <v>0.8011</v>
      </c>
      <c r="F4" s="1" t="n">
        <v>0.8058</v>
      </c>
      <c r="G4" s="1" t="n">
        <v>0.8031</v>
      </c>
      <c r="I4" s="0" t="s">
        <v>1</v>
      </c>
      <c r="L4" s="1"/>
      <c r="M4" s="1"/>
      <c r="N4" s="1"/>
    </row>
    <row r="5" customFormat="false" ht="13.8" hidden="false" customHeight="false" outlineLevel="0" collapsed="false">
      <c r="A5" s="1" t="s">
        <v>85</v>
      </c>
      <c r="B5" s="1" t="str">
        <f aca="false">IF(  OR(ISNUMBER(SEARCH("SMOTEENN",A5)),ISNUMBER(SEARCH("SMOTETomek",A5))),  "Hybrid",  IF(   AND(    OR(ISNUMBER(SEARCH("SMOTE",A5)),ISNUMBER(SEARCH("SVMSMOTE",A5)),ISNUMBER(SEARCH("RandomOverSampler",A5)),ISNUMBER(SEARCH("BorderlineSmote",A5))),    OR(ISNUMBER(SEARCH("RandomUnderSampler",A5)),ISNUMBER(SEARCH("ClusterCentroids",A5)),ISNUMBER(SEARCH("OneSidedSelection",A5)))   ),   "Over+Under",   IF(    OR(ISNUMBER(SEARCH("SMOTE",A5)),ISNUMBER(SEARCH("SVMSMOTE",A5)),ISNUMBER(SEARCH("RandomOverSampler",A5)),ISNUMBER(SEARCH("BorderlineSmote",A5))),    "Oversampling",    IF(     OR(ISNUMBER(SEARCH("RandomUnderSampler",A5)),ISNUMBER(SEARCH("ClusterCentroids",A5)),ISNUMBER(SEARCH("OneSidedSelection",A5))),     "Undersampler",     "Czysty"    )   )  ) )</f>
        <v>Over+Under</v>
      </c>
      <c r="C5" s="1" t="s">
        <v>14</v>
      </c>
      <c r="D5" s="1" t="n">
        <v>0.7981</v>
      </c>
      <c r="E5" s="1" t="n">
        <v>0.7998</v>
      </c>
      <c r="F5" s="1" t="n">
        <v>0.7996</v>
      </c>
      <c r="G5" s="1" t="n">
        <v>0.8011</v>
      </c>
      <c r="I5" s="0" t="s">
        <v>14</v>
      </c>
      <c r="J5" s="0" t="n">
        <f aca="false">MAX(E3:E17)</f>
        <v>0.8032</v>
      </c>
      <c r="K5" s="0" t="str">
        <f aca="false">INDEX(A3:A17,    MATCH(   J5,   E3:E17, 0)    )</f>
        <v>SMOTE</v>
      </c>
      <c r="L5" s="1"/>
      <c r="M5" s="1"/>
      <c r="N5" s="1"/>
    </row>
    <row r="6" customFormat="false" ht="13.8" hidden="false" customHeight="false" outlineLevel="0" collapsed="false">
      <c r="A6" s="1" t="s">
        <v>86</v>
      </c>
      <c r="B6" s="1" t="str">
        <f aca="false">IF(  OR(ISNUMBER(SEARCH("SMOTEENN",A6)),ISNUMBER(SEARCH("SMOTETomek",A6))),  "Hybrid",  IF(   AND(    OR(ISNUMBER(SEARCH("SMOTE",A6)),ISNUMBER(SEARCH("SVMSMOTE",A6)),ISNUMBER(SEARCH("RandomOverSampler",A6)),ISNUMBER(SEARCH("BorderlineSmote",A6))),    OR(ISNUMBER(SEARCH("RandomUnderSampler",A6)),ISNUMBER(SEARCH("ClusterCentroids",A6)),ISNUMBER(SEARCH("OneSidedSelection",A6)))   ),   "Over+Under",   IF(    OR(ISNUMBER(SEARCH("SMOTE",A6)),ISNUMBER(SEARCH("SVMSMOTE",A6)),ISNUMBER(SEARCH("RandomOverSampler",A6)),ISNUMBER(SEARCH("BorderlineSmote",A6))),    "Oversampling",    IF(     OR(ISNUMBER(SEARCH("RandomUnderSampler",A6)),ISNUMBER(SEARCH("ClusterCentroids",A6)),ISNUMBER(SEARCH("OneSidedSelection",A6))),     "Undersampler",     "Czysty"    )   )  ) )</f>
        <v>Over+Under</v>
      </c>
      <c r="C6" s="1" t="s">
        <v>14</v>
      </c>
      <c r="D6" s="1" t="n">
        <v>0.7963</v>
      </c>
      <c r="E6" s="1" t="n">
        <v>0.7972</v>
      </c>
      <c r="F6" s="1" t="n">
        <v>0.799</v>
      </c>
      <c r="G6" s="1" t="n">
        <v>0.7993</v>
      </c>
      <c r="I6" s="0" t="s">
        <v>74</v>
      </c>
      <c r="J6" s="0" t="n">
        <f aca="false">MAX(E18:E32)</f>
        <v>0.8193</v>
      </c>
      <c r="K6" s="0" t="str">
        <f aca="false">INDEX(A18:A32,    MATCH(   J6,   E18:E32, 0)    )</f>
        <v>RandomOverSampler\newline+RandomUnderSampler</v>
      </c>
      <c r="L6" s="1"/>
      <c r="M6" s="1"/>
      <c r="N6" s="1"/>
    </row>
    <row r="7" customFormat="false" ht="13.8" hidden="false" customHeight="false" outlineLevel="0" collapsed="false">
      <c r="A7" s="1" t="s">
        <v>80</v>
      </c>
      <c r="B7" s="1" t="str">
        <f aca="false">IF(  OR(ISNUMBER(SEARCH("SMOTEENN",A7)),ISNUMBER(SEARCH("SMOTETomek",A7))),  "Hybrid",  IF(   AND(    OR(ISNUMBER(SEARCH("SMOTE",A7)),ISNUMBER(SEARCH("SVMSMOTE",A7)),ISNUMBER(SEARCH("RandomOverSampler",A7)),ISNUMBER(SEARCH("BorderlineSmote",A7))),    OR(ISNUMBER(SEARCH("RandomUnderSampler",A7)),ISNUMBER(SEARCH("ClusterCentroids",A7)),ISNUMBER(SEARCH("OneSidedSelection",A7)))   ),   "Over+Under",   IF(    OR(ISNUMBER(SEARCH("SMOTE",A7)),ISNUMBER(SEARCH("SVMSMOTE",A7)),ISNUMBER(SEARCH("RandomOverSampler",A7)),ISNUMBER(SEARCH("BorderlineSmote",A7))),    "Oversampling",    IF(     OR(ISNUMBER(SEARCH("RandomUnderSampler",A7)),ISNUMBER(SEARCH("ClusterCentroids",A7)),ISNUMBER(SEARCH("OneSidedSelection",A7))),     "Undersampler",     "Czysty"    )   )  ) )</f>
        <v>Hybrid</v>
      </c>
      <c r="C7" s="1" t="s">
        <v>14</v>
      </c>
      <c r="D7" s="1" t="n">
        <v>0.7963</v>
      </c>
      <c r="E7" s="1" t="n">
        <v>0.7958</v>
      </c>
      <c r="F7" s="1" t="n">
        <v>0.7966</v>
      </c>
      <c r="G7" s="1" t="n">
        <v>0.7975</v>
      </c>
      <c r="L7" s="1"/>
      <c r="M7" s="1"/>
      <c r="N7" s="1"/>
    </row>
    <row r="8" customFormat="false" ht="13.8" hidden="false" customHeight="false" outlineLevel="0" collapsed="false">
      <c r="A8" s="1" t="s">
        <v>81</v>
      </c>
      <c r="B8" s="1" t="str">
        <f aca="false">IF(  OR(ISNUMBER(SEARCH("SMOTEENN",A8)),ISNUMBER(SEARCH("SMOTETomek",A8))),  "Hybrid",  IF(   AND(    OR(ISNUMBER(SEARCH("SMOTE",A8)),ISNUMBER(SEARCH("SVMSMOTE",A8)),ISNUMBER(SEARCH("RandomOverSampler",A8)),ISNUMBER(SEARCH("BorderlineSmote",A8))),    OR(ISNUMBER(SEARCH("RandomUnderSampler",A8)),ISNUMBER(SEARCH("ClusterCentroids",A8)),ISNUMBER(SEARCH("OneSidedSelection",A8)))   ),   "Over+Under",   IF(    OR(ISNUMBER(SEARCH("SMOTE",A8)),ISNUMBER(SEARCH("SVMSMOTE",A8)),ISNUMBER(SEARCH("RandomOverSampler",A8)),ISNUMBER(SEARCH("BorderlineSmote",A8))),    "Oversampling",    IF(     OR(ISNUMBER(SEARCH("RandomUnderSampler",A8)),ISNUMBER(SEARCH("ClusterCentroids",A8)),ISNUMBER(SEARCH("OneSidedSelection",A8))),     "Undersampler",     "Czysty"    )   )  ) )</f>
        <v>Oversampling</v>
      </c>
      <c r="C8" s="1" t="s">
        <v>14</v>
      </c>
      <c r="D8" s="1" t="n">
        <v>0.7944</v>
      </c>
      <c r="E8" s="1" t="n">
        <v>0.7955</v>
      </c>
      <c r="F8" s="1" t="n">
        <v>0.7981</v>
      </c>
      <c r="G8" s="1" t="n">
        <v>0.7976</v>
      </c>
      <c r="I8" s="0" t="s">
        <v>17</v>
      </c>
      <c r="L8" s="1"/>
      <c r="M8" s="1"/>
      <c r="N8" s="1"/>
    </row>
    <row r="9" customFormat="false" ht="13.8" hidden="false" customHeight="false" outlineLevel="0" collapsed="false">
      <c r="A9" s="1" t="s">
        <v>124</v>
      </c>
      <c r="B9" s="1" t="str">
        <f aca="false">IF(  OR(ISNUMBER(SEARCH("SMOTEENN",A9)),ISNUMBER(SEARCH("SMOTETomek",A9))),  "Hybrid",  IF(   AND(    OR(ISNUMBER(SEARCH("SMOTE",A9)),ISNUMBER(SEARCH("SVMSMOTE",A9)),ISNUMBER(SEARCH("RandomOverSampler",A9)),ISNUMBER(SEARCH("BorderlineSmote",A9))),    OR(ISNUMBER(SEARCH("RandomUnderSampler",A9)),ISNUMBER(SEARCH("ClusterCentroids",A9)),ISNUMBER(SEARCH("OneSidedSelection",A9)))   ),   "Over+Under",   IF(    OR(ISNUMBER(SEARCH("SMOTE",A9)),ISNUMBER(SEARCH("SVMSMOTE",A9)),ISNUMBER(SEARCH("RandomOverSampler",A9)),ISNUMBER(SEARCH("BorderlineSmote",A9))),    "Oversampling",    IF(     OR(ISNUMBER(SEARCH("RandomUnderSampler",A9)),ISNUMBER(SEARCH("ClusterCentroids",A9)),ISNUMBER(SEARCH("OneSidedSelection",A9))),     "Undersampler",     "Czysty"    )   )  ) )</f>
        <v>Over+Under</v>
      </c>
      <c r="C9" s="1" t="s">
        <v>14</v>
      </c>
      <c r="D9" s="1" t="n">
        <v>0.7926</v>
      </c>
      <c r="E9" s="1" t="n">
        <v>0.7935</v>
      </c>
      <c r="F9" s="1" t="n">
        <v>0.7945</v>
      </c>
      <c r="G9" s="1" t="n">
        <v>0.7953</v>
      </c>
      <c r="I9" s="0" t="s">
        <v>14</v>
      </c>
      <c r="J9" s="0" t="n">
        <f aca="false">MAX(E36:E50)</f>
        <v>0.7913</v>
      </c>
      <c r="K9" s="0" t="str">
        <f aca="false">INDEX(A36:A65,    MATCH(   J9,   E36:E65, 0)    )</f>
        <v>SMOTE\newline+ClusterCentroids</v>
      </c>
      <c r="L9" s="1"/>
      <c r="M9" s="1"/>
      <c r="N9" s="1"/>
    </row>
    <row r="10" customFormat="false" ht="13.8" hidden="false" customHeight="false" outlineLevel="0" collapsed="false">
      <c r="A10" s="1" t="s">
        <v>126</v>
      </c>
      <c r="B10" s="1" t="str">
        <f aca="false">IF(  OR(ISNUMBER(SEARCH("SMOTEENN",A10)),ISNUMBER(SEARCH("SMOTETomek",A10))),  "Hybrid",  IF(   AND(    OR(ISNUMBER(SEARCH("SMOTE",A10)),ISNUMBER(SEARCH("SVMSMOTE",A10)),ISNUMBER(SEARCH("RandomOverSampler",A10)),ISNUMBER(SEARCH("BorderlineSmote",A10))),    OR(ISNUMBER(SEARCH("RandomUnderSampler",A10)),ISNUMBER(SEARCH("ClusterCentroids",A10)),ISNUMBER(SEARCH("OneSidedSelection",A10)))   ),   "Over+Under",   IF(    OR(ISNUMBER(SEARCH("SMOTE",A10)),ISNUMBER(SEARCH("SVMSMOTE",A10)),ISNUMBER(SEARCH("RandomOverSampler",A10)),ISNUMBER(SEARCH("BorderlineSmote",A10))),    "Oversampling",    IF(     OR(ISNUMBER(SEARCH("RandomUnderSampler",A10)),ISNUMBER(SEARCH("ClusterCentroids",A10)),ISNUMBER(SEARCH("OneSidedSelection",A10))),     "Undersampler",     "Czysty"    )   )  ) )</f>
        <v>Oversampling</v>
      </c>
      <c r="C10" s="1" t="s">
        <v>14</v>
      </c>
      <c r="D10" s="1" t="n">
        <v>0.7907</v>
      </c>
      <c r="E10" s="1" t="n">
        <v>0.7906</v>
      </c>
      <c r="F10" s="1" t="n">
        <v>0.7921</v>
      </c>
      <c r="G10" s="1" t="n">
        <v>0.7927</v>
      </c>
      <c r="I10" s="0" t="s">
        <v>74</v>
      </c>
      <c r="J10" s="0" t="n">
        <f aca="false">MAX(E51:E65)</f>
        <v>0.7914</v>
      </c>
      <c r="K10" s="0" t="str">
        <f aca="false">INDEX(A36:A65,    MATCH(   J10,   E36:E65, 0)    )</f>
        <v>SVMSMOTE</v>
      </c>
      <c r="L10" s="1"/>
      <c r="M10" s="1"/>
      <c r="N10" s="1"/>
    </row>
    <row r="11" customFormat="false" ht="13.8" hidden="false" customHeight="false" outlineLevel="0" collapsed="false">
      <c r="A11" s="1" t="s">
        <v>125</v>
      </c>
      <c r="B11" s="1" t="str">
        <f aca="false">IF(  OR(ISNUMBER(SEARCH("SMOTEENN",A11)),ISNUMBER(SEARCH("SMOTETomek",A11))),  "Hybrid",  IF(   AND(    OR(ISNUMBER(SEARCH("SMOTE",A11)),ISNUMBER(SEARCH("SVMSMOTE",A11)),ISNUMBER(SEARCH("RandomOverSampler",A11)),ISNUMBER(SEARCH("BorderlineSmote",A11))),    OR(ISNUMBER(SEARCH("RandomUnderSampler",A11)),ISNUMBER(SEARCH("ClusterCentroids",A11)),ISNUMBER(SEARCH("OneSidedSelection",A11)))   ),   "Over+Under",   IF(    OR(ISNUMBER(SEARCH("SMOTE",A11)),ISNUMBER(SEARCH("SVMSMOTE",A11)),ISNUMBER(SEARCH("RandomOverSampler",A11)),ISNUMBER(SEARCH("BorderlineSmote",A11))),    "Oversampling",    IF(     OR(ISNUMBER(SEARCH("RandomUnderSampler",A11)),ISNUMBER(SEARCH("ClusterCentroids",A11)),ISNUMBER(SEARCH("OneSidedSelection",A11))),     "Undersampler",     "Czysty"    )   )  ) )</f>
        <v>Over+Under</v>
      </c>
      <c r="C11" s="1" t="s">
        <v>14</v>
      </c>
      <c r="D11" s="1" t="n">
        <v>0.787</v>
      </c>
      <c r="E11" s="1" t="n">
        <v>0.787</v>
      </c>
      <c r="F11" s="1" t="n">
        <v>0.7901</v>
      </c>
      <c r="G11" s="1" t="n">
        <v>0.7892</v>
      </c>
      <c r="L11" s="1"/>
      <c r="M11" s="1"/>
      <c r="N11" s="1"/>
    </row>
    <row r="12" customFormat="false" ht="13.8" hidden="false" customHeight="false" outlineLevel="0" collapsed="false">
      <c r="A12" s="1" t="s">
        <v>82</v>
      </c>
      <c r="B12" s="1" t="str">
        <f aca="false">IF(  OR(ISNUMBER(SEARCH("SMOTEENN",A12)),ISNUMBER(SEARCH("SMOTETomek",A12))),  "Hybrid",  IF(   AND(    OR(ISNUMBER(SEARCH("SMOTE",A12)),ISNUMBER(SEARCH("SVMSMOTE",A12)),ISNUMBER(SEARCH("RandomOverSampler",A12)),ISNUMBER(SEARCH("BorderlineSmote",A12))),    OR(ISNUMBER(SEARCH("RandomUnderSampler",A12)),ISNUMBER(SEARCH("ClusterCentroids",A12)),ISNUMBER(SEARCH("OneSidedSelection",A12)))   ),   "Over+Under",   IF(    OR(ISNUMBER(SEARCH("SMOTE",A12)),ISNUMBER(SEARCH("SVMSMOTE",A12)),ISNUMBER(SEARCH("RandomOverSampler",A12)),ISNUMBER(SEARCH("BorderlineSmote",A12))),    "Oversampling",    IF(     OR(ISNUMBER(SEARCH("RandomUnderSampler",A12)),ISNUMBER(SEARCH("ClusterCentroids",A12)),ISNUMBER(SEARCH("OneSidedSelection",A12))),     "Undersampler",     "Czysty"    )   )  ) )</f>
        <v>Over+Under</v>
      </c>
      <c r="C12" s="1" t="s">
        <v>14</v>
      </c>
      <c r="D12" s="1" t="n">
        <v>0.7852</v>
      </c>
      <c r="E12" s="1" t="n">
        <v>0.7851</v>
      </c>
      <c r="F12" s="1" t="n">
        <v>0.7895</v>
      </c>
      <c r="G12" s="1" t="n">
        <v>0.7884</v>
      </c>
      <c r="I12" s="0" t="s">
        <v>23</v>
      </c>
      <c r="L12" s="1"/>
      <c r="M12" s="1"/>
      <c r="N12" s="1"/>
    </row>
    <row r="13" customFormat="false" ht="13.8" hidden="false" customHeight="false" outlineLevel="0" collapsed="false">
      <c r="A13" s="1" t="s">
        <v>79</v>
      </c>
      <c r="B13" s="1" t="str">
        <f aca="false">IF(  OR(ISNUMBER(SEARCH("SMOTEENN",A13)),ISNUMBER(SEARCH("SMOTETomek",A13))),  "Hybrid",  IF(   AND(    OR(ISNUMBER(SEARCH("SMOTE",A13)),ISNUMBER(SEARCH("SVMSMOTE",A13)),ISNUMBER(SEARCH("RandomOverSampler",A13)),ISNUMBER(SEARCH("BorderlineSmote",A13))),    OR(ISNUMBER(SEARCH("RandomUnderSampler",A13)),ISNUMBER(SEARCH("ClusterCentroids",A13)),ISNUMBER(SEARCH("OneSidedSelection",A13)))   ),   "Over+Under",   IF(    OR(ISNUMBER(SEARCH("SMOTE",A13)),ISNUMBER(SEARCH("SVMSMOTE",A13)),ISNUMBER(SEARCH("RandomOverSampler",A13)),ISNUMBER(SEARCH("BorderlineSmote",A13))),    "Oversampling",    IF(     OR(ISNUMBER(SEARCH("RandomUnderSampler",A13)),ISNUMBER(SEARCH("ClusterCentroids",A13)),ISNUMBER(SEARCH("OneSidedSelection",A13))),     "Undersampler",     "Czysty"    )   )  ) )</f>
        <v>Oversampling</v>
      </c>
      <c r="C13" s="1" t="s">
        <v>14</v>
      </c>
      <c r="D13" s="1" t="n">
        <v>0.7778</v>
      </c>
      <c r="E13" s="1" t="n">
        <v>0.7768</v>
      </c>
      <c r="F13" s="1" t="n">
        <v>0.7799</v>
      </c>
      <c r="G13" s="1" t="n">
        <v>0.78</v>
      </c>
      <c r="I13" s="0" t="s">
        <v>14</v>
      </c>
      <c r="J13" s="1" t="n">
        <f aca="false">MAX(E69:E83)</f>
        <v>0.7428</v>
      </c>
      <c r="K13" s="1" t="str">
        <f aca="false">INDEX(A69:A98,    MATCH(   J13,   E69:E98, 0)    )</f>
        <v>BorderlineSmote\newline+RandomUnderSampler</v>
      </c>
      <c r="L13" s="1"/>
      <c r="M13" s="1"/>
      <c r="N13" s="1"/>
    </row>
    <row r="14" customFormat="false" ht="13.8" hidden="false" customHeight="false" outlineLevel="0" collapsed="false">
      <c r="A14" s="1" t="s">
        <v>83</v>
      </c>
      <c r="B14" s="1" t="str">
        <f aca="false">IF(  OR(ISNUMBER(SEARCH("SMOTEENN",A14)),ISNUMBER(SEARCH("SMOTETomek",A14))),  "Hybrid",  IF(   AND(    OR(ISNUMBER(SEARCH("SMOTE",A14)),ISNUMBER(SEARCH("SVMSMOTE",A14)),ISNUMBER(SEARCH("RandomOverSampler",A14)),ISNUMBER(SEARCH("BorderlineSmote",A14))),    OR(ISNUMBER(SEARCH("RandomUnderSampler",A14)),ISNUMBER(SEARCH("ClusterCentroids",A14)),ISNUMBER(SEARCH("OneSidedSelection",A14)))   ),   "Over+Under",   IF(    OR(ISNUMBER(SEARCH("SMOTE",A14)),ISNUMBER(SEARCH("SVMSMOTE",A14)),ISNUMBER(SEARCH("RandomOverSampler",A14)),ISNUMBER(SEARCH("BorderlineSmote",A14))),    "Oversampling",    IF(     OR(ISNUMBER(SEARCH("RandomUnderSampler",A14)),ISNUMBER(SEARCH("ClusterCentroids",A14)),ISNUMBER(SEARCH("OneSidedSelection",A14))),     "Undersampler",     "Czysty"    )   )  ) )</f>
        <v>Over+Under</v>
      </c>
      <c r="C14" s="1" t="s">
        <v>14</v>
      </c>
      <c r="D14" s="1" t="n">
        <v>0.7741</v>
      </c>
      <c r="E14" s="1" t="n">
        <v>0.774</v>
      </c>
      <c r="F14" s="1" t="n">
        <v>0.7769</v>
      </c>
      <c r="G14" s="1" t="n">
        <v>0.7762</v>
      </c>
      <c r="I14" s="0" t="s">
        <v>74</v>
      </c>
      <c r="J14" s="1" t="n">
        <f aca="false">MAX(E84:E98)</f>
        <v>0.7353</v>
      </c>
      <c r="K14" s="1" t="str">
        <f aca="false">INDEX(A69:A98,    MATCH(   J14,   E69:E98, 0)    )</f>
        <v>DecisionTree</v>
      </c>
      <c r="L14" s="1"/>
      <c r="M14" s="1"/>
      <c r="N14" s="1"/>
    </row>
    <row r="15" customFormat="false" ht="13.8" hidden="false" customHeight="false" outlineLevel="0" collapsed="false">
      <c r="A15" s="1" t="s">
        <v>87</v>
      </c>
      <c r="B15" s="1" t="str">
        <f aca="false">IF(  OR(ISNUMBER(SEARCH("SMOTEENN",A15)),ISNUMBER(SEARCH("SMOTETomek",A15))),  "Hybrid",  IF(   AND(    OR(ISNUMBER(SEARCH("SMOTE",A15)),ISNUMBER(SEARCH("SVMSMOTE",A15)),ISNUMBER(SEARCH("RandomOverSampler",A15)),ISNUMBER(SEARCH("BorderlineSmote",A15))),    OR(ISNUMBER(SEARCH("RandomUnderSampler",A15)),ISNUMBER(SEARCH("ClusterCentroids",A15)),ISNUMBER(SEARCH("OneSidedSelection",A15)))   ),   "Over+Under",   IF(    OR(ISNUMBER(SEARCH("SMOTE",A15)),ISNUMBER(SEARCH("SVMSMOTE",A15)),ISNUMBER(SEARCH("RandomOverSampler",A15)),ISNUMBER(SEARCH("BorderlineSmote",A15))),    "Oversampling",    IF(     OR(ISNUMBER(SEARCH("RandomUnderSampler",A15)),ISNUMBER(SEARCH("ClusterCentroids",A15)),ISNUMBER(SEARCH("OneSidedSelection",A15))),     "Undersampler",     "Czysty"    )   )  ) )</f>
        <v>Hybrid</v>
      </c>
      <c r="C15" s="1" t="s">
        <v>14</v>
      </c>
      <c r="D15" s="1" t="n">
        <v>0.6741</v>
      </c>
      <c r="E15" s="1" t="n">
        <v>0.6167</v>
      </c>
      <c r="F15" s="1" t="n">
        <v>0.5949</v>
      </c>
      <c r="G15" s="1" t="n">
        <v>0.6867</v>
      </c>
      <c r="L15" s="1"/>
      <c r="M15" s="1"/>
      <c r="N15" s="1"/>
    </row>
    <row r="16" customFormat="false" ht="13.8" hidden="false" customHeight="false" outlineLevel="0" collapsed="false">
      <c r="A16" s="1" t="s">
        <v>84</v>
      </c>
      <c r="B16" s="1" t="str">
        <f aca="false">IF(  OR(ISNUMBER(SEARCH("SMOTEENN",A16)),ISNUMBER(SEARCH("SMOTETomek",A16))),  "Hybrid",  IF(   AND(    OR(ISNUMBER(SEARCH("SMOTE",A16)),ISNUMBER(SEARCH("SVMSMOTE",A16)),ISNUMBER(SEARCH("RandomOverSampler",A16)),ISNUMBER(SEARCH("BorderlineSmote",A16))),    OR(ISNUMBER(SEARCH("RandomUnderSampler",A16)),ISNUMBER(SEARCH("ClusterCentroids",A16)),ISNUMBER(SEARCH("OneSidedSelection",A16)))   ),   "Over+Under",   IF(    OR(ISNUMBER(SEARCH("SMOTE",A16)),ISNUMBER(SEARCH("SVMSMOTE",A16)),ISNUMBER(SEARCH("RandomOverSampler",A16)),ISNUMBER(SEARCH("BorderlineSmote",A16))),    "Oversampling",    IF(     OR(ISNUMBER(SEARCH("RandomUnderSampler",A16)),ISNUMBER(SEARCH("ClusterCentroids",A16)),ISNUMBER(SEARCH("OneSidedSelection",A16))),     "Undersampler",     "Czysty"    )   )  ) )</f>
        <v>Over+Under</v>
      </c>
      <c r="C16" s="1" t="s">
        <v>14</v>
      </c>
      <c r="D16" s="1" t="n">
        <v>0.6796</v>
      </c>
      <c r="E16" s="1" t="n">
        <v>0.5647</v>
      </c>
      <c r="F16" s="1" t="n">
        <v>0.5588</v>
      </c>
      <c r="G16" s="1" t="n">
        <v>0.6686</v>
      </c>
      <c r="I16" s="0" t="s">
        <v>26</v>
      </c>
      <c r="L16" s="1"/>
      <c r="M16" s="1"/>
      <c r="N16" s="1"/>
    </row>
    <row r="17" customFormat="false" ht="13.8" hidden="false" customHeight="false" outlineLevel="0" collapsed="false">
      <c r="A17" s="1" t="s">
        <v>88</v>
      </c>
      <c r="B17" s="1" t="str">
        <f aca="false">IF(  OR(ISNUMBER(SEARCH("SMOTEENN",A17)),ISNUMBER(SEARCH("SMOTETomek",A17))),  "Hybrid",  IF(   AND(    OR(ISNUMBER(SEARCH("SMOTE",A17)),ISNUMBER(SEARCH("SVMSMOTE",A17)),ISNUMBER(SEARCH("RandomOverSampler",A17)),ISNUMBER(SEARCH("BorderlineSmote",A17))),    OR(ISNUMBER(SEARCH("RandomUnderSampler",A17)),ISNUMBER(SEARCH("ClusterCentroids",A17)),ISNUMBER(SEARCH("OneSidedSelection",A17)))   ),   "Over+Under",   IF(    OR(ISNUMBER(SEARCH("SMOTE",A17)),ISNUMBER(SEARCH("SVMSMOTE",A17)),ISNUMBER(SEARCH("RandomOverSampler",A17)),ISNUMBER(SEARCH("BorderlineSmote",A17))),    "Oversampling",    IF(     OR(ISNUMBER(SEARCH("RandomUnderSampler",A17)),ISNUMBER(SEARCH("ClusterCentroids",A17)),ISNUMBER(SEARCH("OneSidedSelection",A17))),     "Undersampler",     "Czysty"    )   )  ) )</f>
        <v>Over+Under</v>
      </c>
      <c r="C17" s="1" t="s">
        <v>14</v>
      </c>
      <c r="D17" s="1" t="n">
        <v>0.6778</v>
      </c>
      <c r="E17" s="1" t="n">
        <v>0.5606</v>
      </c>
      <c r="F17" s="1" t="n">
        <v>0.5027</v>
      </c>
      <c r="G17" s="1" t="n">
        <v>0.6667</v>
      </c>
      <c r="I17" s="0" t="s">
        <v>14</v>
      </c>
      <c r="J17" s="1" t="n">
        <f aca="false">MAX(E102:E116)</f>
        <v>0.7802</v>
      </c>
      <c r="K17" s="1" t="str">
        <f aca="false">INDEX(A102:A131,    MATCH(   J17,   E102:E131, 0)    )</f>
        <v>BorderlineSmote</v>
      </c>
      <c r="L17" s="1"/>
      <c r="M17" s="1"/>
      <c r="N17" s="1"/>
    </row>
    <row r="18" customFormat="false" ht="13.8" hidden="false" customHeight="false" outlineLevel="0" collapsed="false">
      <c r="A18" s="1" t="s">
        <v>86</v>
      </c>
      <c r="B18" s="1" t="str">
        <f aca="false">IF(  OR(ISNUMBER(SEARCH("SMOTEENN",A18)),ISNUMBER(SEARCH("SMOTETomek",A18))),  "Hybrid",  IF(   AND(    OR(ISNUMBER(SEARCH("SMOTE",A18)),ISNUMBER(SEARCH("SVMSMOTE",A18)),ISNUMBER(SEARCH("RandomOverSampler",A18)),ISNUMBER(SEARCH("BorderlineSmote",A18))),    OR(ISNUMBER(SEARCH("RandomUnderSampler",A18)),ISNUMBER(SEARCH("ClusterCentroids",A18)),ISNUMBER(SEARCH("OneSidedSelection",A18)))   ),   "Over+Under",   IF(    OR(ISNUMBER(SEARCH("SMOTE",A18)),ISNUMBER(SEARCH("SVMSMOTE",A18)),ISNUMBER(SEARCH("RandomOverSampler",A18)),ISNUMBER(SEARCH("BorderlineSmote",A18))),    "Oversampling",    IF(     OR(ISNUMBER(SEARCH("RandomUnderSampler",A18)),ISNUMBER(SEARCH("ClusterCentroids",A18)),ISNUMBER(SEARCH("OneSidedSelection",A18))),     "Undersampler",     "Czysty"    )   )  ) )</f>
        <v>Over+Under</v>
      </c>
      <c r="C18" s="1" t="s">
        <v>74</v>
      </c>
      <c r="D18" s="1" t="n">
        <v>0.8185</v>
      </c>
      <c r="E18" s="1" t="n">
        <v>0.8193</v>
      </c>
      <c r="F18" s="1" t="n">
        <v>0.8238</v>
      </c>
      <c r="G18" s="1" t="n">
        <v>0.8218</v>
      </c>
      <c r="I18" s="0" t="s">
        <v>74</v>
      </c>
      <c r="J18" s="1" t="n">
        <f aca="false">MAX(E117:E131)</f>
        <v>0.7833</v>
      </c>
      <c r="K18" s="1" t="str">
        <f aca="false">INDEX(A102:A131,    MATCH(   J18,   E102:E131, 0)    )</f>
        <v>SMOTE</v>
      </c>
      <c r="L18" s="1"/>
      <c r="M18" s="1"/>
      <c r="N18" s="1"/>
    </row>
    <row r="19" customFormat="false" ht="13.8" hidden="false" customHeight="false" outlineLevel="0" collapsed="false">
      <c r="A19" s="1" t="s">
        <v>85</v>
      </c>
      <c r="B19" s="1" t="str">
        <f aca="false">IF(  OR(ISNUMBER(SEARCH("SMOTEENN",A19)),ISNUMBER(SEARCH("SMOTETomek",A19))),  "Hybrid",  IF(   AND(    OR(ISNUMBER(SEARCH("SMOTE",A19)),ISNUMBER(SEARCH("SVMSMOTE",A19)),ISNUMBER(SEARCH("RandomOverSampler",A19)),ISNUMBER(SEARCH("BorderlineSmote",A19))),    OR(ISNUMBER(SEARCH("RandomUnderSampler",A19)),ISNUMBER(SEARCH("ClusterCentroids",A19)),ISNUMBER(SEARCH("OneSidedSelection",A19)))   ),   "Over+Under",   IF(    OR(ISNUMBER(SEARCH("SMOTE",A19)),ISNUMBER(SEARCH("SVMSMOTE",A19)),ISNUMBER(SEARCH("RandomOverSampler",A19)),ISNUMBER(SEARCH("BorderlineSmote",A19))),    "Oversampling",    IF(     OR(ISNUMBER(SEARCH("RandomUnderSampler",A19)),ISNUMBER(SEARCH("ClusterCentroids",A19)),ISNUMBER(SEARCH("OneSidedSelection",A19))),     "Undersampler",     "Czysty"    )   )  ) )</f>
        <v>Over+Under</v>
      </c>
      <c r="C19" s="1" t="s">
        <v>74</v>
      </c>
      <c r="D19" s="1" t="n">
        <v>0.8074</v>
      </c>
      <c r="E19" s="1" t="n">
        <v>0.8088</v>
      </c>
      <c r="F19" s="1" t="n">
        <v>0.8108</v>
      </c>
      <c r="G19" s="1" t="n">
        <v>0.8103</v>
      </c>
      <c r="I19" s="1"/>
      <c r="J19" s="1"/>
      <c r="K19" s="1"/>
      <c r="L19" s="1"/>
      <c r="M19" s="1"/>
      <c r="N19" s="1"/>
    </row>
    <row r="20" customFormat="false" ht="13.8" hidden="false" customHeight="false" outlineLevel="0" collapsed="false">
      <c r="A20" s="1" t="s">
        <v>123</v>
      </c>
      <c r="B20" s="1" t="str">
        <f aca="false">IF(  OR(ISNUMBER(SEARCH("SMOTEENN",A20)),ISNUMBER(SEARCH("SMOTETomek",A20))),  "Hybrid",  IF(   AND(    OR(ISNUMBER(SEARCH("SMOTE",A20)),ISNUMBER(SEARCH("SVMSMOTE",A20)),ISNUMBER(SEARCH("RandomOverSampler",A20)),ISNUMBER(SEARCH("BorderlineSmote",A20))),    OR(ISNUMBER(SEARCH("RandomUnderSampler",A20)),ISNUMBER(SEARCH("ClusterCentroids",A20)),ISNUMBER(SEARCH("OneSidedSelection",A20)))   ),   "Over+Under",   IF(    OR(ISNUMBER(SEARCH("SMOTE",A20)),ISNUMBER(SEARCH("SVMSMOTE",A20)),ISNUMBER(SEARCH("RandomOverSampler",A20)),ISNUMBER(SEARCH("BorderlineSmote",A20))),    "Oversampling",    IF(     OR(ISNUMBER(SEARCH("RandomUnderSampler",A20)),ISNUMBER(SEARCH("ClusterCentroids",A20)),ISNUMBER(SEARCH("OneSidedSelection",A20))),     "Undersampler",     "Czysty"    )   )  ) )</f>
        <v>Oversampling</v>
      </c>
      <c r="C20" s="1" t="s">
        <v>74</v>
      </c>
      <c r="D20" s="1" t="n">
        <v>0.8074</v>
      </c>
      <c r="E20" s="1" t="n">
        <v>0.8058</v>
      </c>
      <c r="F20" s="1" t="n">
        <v>0.8108</v>
      </c>
      <c r="G20" s="1" t="n">
        <v>0.8081</v>
      </c>
      <c r="I20" s="1"/>
      <c r="J20" s="1"/>
      <c r="K20" s="1"/>
      <c r="L20" s="1"/>
      <c r="M20" s="1"/>
      <c r="N20" s="1"/>
    </row>
    <row r="21" customFormat="false" ht="13.8" hidden="false" customHeight="false" outlineLevel="0" collapsed="false">
      <c r="A21" s="1" t="s">
        <v>1</v>
      </c>
      <c r="B21" s="1" t="str">
        <f aca="false">IF(  OR(ISNUMBER(SEARCH("SMOTEENN",A21)),ISNUMBER(SEARCH("SMOTETomek",A21))),  "Hybrid",  IF(   AND(    OR(ISNUMBER(SEARCH("SMOTE",A21)),ISNUMBER(SEARCH("SVMSMOTE",A21)),ISNUMBER(SEARCH("RandomOverSampler",A21)),ISNUMBER(SEARCH("BorderlineSmote",A21))),    OR(ISNUMBER(SEARCH("RandomUnderSampler",A21)),ISNUMBER(SEARCH("ClusterCentroids",A21)),ISNUMBER(SEARCH("OneSidedSelection",A21)))   ),   "Over+Under",   IF(    OR(ISNUMBER(SEARCH("SMOTE",A21)),ISNUMBER(SEARCH("SVMSMOTE",A21)),ISNUMBER(SEARCH("RandomOverSampler",A21)),ISNUMBER(SEARCH("BorderlineSmote",A21))),    "Oversampling",    IF(     OR(ISNUMBER(SEARCH("RandomUnderSampler",A21)),ISNUMBER(SEARCH("ClusterCentroids",A21)),ISNUMBER(SEARCH("OneSidedSelection",A21))),     "Undersampler",     "Czysty"    )   )  ) )</f>
        <v>Czysty</v>
      </c>
      <c r="C21" s="1" t="s">
        <v>74</v>
      </c>
      <c r="D21" s="1" t="n">
        <v>0.8056</v>
      </c>
      <c r="E21" s="1" t="n">
        <v>0.8047</v>
      </c>
      <c r="F21" s="1" t="n">
        <v>0.8096</v>
      </c>
      <c r="G21" s="1" t="n">
        <v>0.8068</v>
      </c>
      <c r="I21" s="1"/>
      <c r="J21" s="1"/>
      <c r="K21" s="1"/>
      <c r="L21" s="1"/>
      <c r="M21" s="1"/>
      <c r="N21" s="1"/>
    </row>
    <row r="22" customFormat="false" ht="13.8" hidden="false" customHeight="false" outlineLevel="0" collapsed="false">
      <c r="A22" s="1" t="s">
        <v>83</v>
      </c>
      <c r="B22" s="1" t="str">
        <f aca="false">IF(  OR(ISNUMBER(SEARCH("SMOTEENN",A22)),ISNUMBER(SEARCH("SMOTETomek",A22))),  "Hybrid",  IF(   AND(    OR(ISNUMBER(SEARCH("SMOTE",A22)),ISNUMBER(SEARCH("SVMSMOTE",A22)),ISNUMBER(SEARCH("RandomOverSampler",A22)),ISNUMBER(SEARCH("BorderlineSmote",A22))),    OR(ISNUMBER(SEARCH("RandomUnderSampler",A22)),ISNUMBER(SEARCH("ClusterCentroids",A22)),ISNUMBER(SEARCH("OneSidedSelection",A22)))   ),   "Over+Under",   IF(    OR(ISNUMBER(SEARCH("SMOTE",A22)),ISNUMBER(SEARCH("SVMSMOTE",A22)),ISNUMBER(SEARCH("RandomOverSampler",A22)),ISNUMBER(SEARCH("BorderlineSmote",A22))),    "Oversampling",    IF(     OR(ISNUMBER(SEARCH("RandomUnderSampler",A22)),ISNUMBER(SEARCH("ClusterCentroids",A22)),ISNUMBER(SEARCH("OneSidedSelection",A22))),     "Undersampler",     "Czysty"    )   )  ) )</f>
        <v>Over+Under</v>
      </c>
      <c r="C22" s="1" t="s">
        <v>74</v>
      </c>
      <c r="D22" s="1" t="n">
        <v>0.7981</v>
      </c>
      <c r="E22" s="1" t="n">
        <v>0.7993</v>
      </c>
      <c r="F22" s="1" t="n">
        <v>0.8002</v>
      </c>
      <c r="G22" s="1" t="n">
        <v>0.8005</v>
      </c>
      <c r="I22" s="1"/>
      <c r="J22" s="1"/>
      <c r="K22" s="1"/>
      <c r="L22" s="1"/>
      <c r="M22" s="1"/>
      <c r="N22" s="1"/>
    </row>
    <row r="23" customFormat="false" ht="13.8" hidden="false" customHeight="false" outlineLevel="0" collapsed="false">
      <c r="A23" s="1" t="s">
        <v>124</v>
      </c>
      <c r="B23" s="1" t="str">
        <f aca="false">IF(  OR(ISNUMBER(SEARCH("SMOTEENN",A23)),ISNUMBER(SEARCH("SMOTETomek",A23))),  "Hybrid",  IF(   AND(    OR(ISNUMBER(SEARCH("SMOTE",A23)),ISNUMBER(SEARCH("SVMSMOTE",A23)),ISNUMBER(SEARCH("RandomOverSampler",A23)),ISNUMBER(SEARCH("BorderlineSmote",A23))),    OR(ISNUMBER(SEARCH("RandomUnderSampler",A23)),ISNUMBER(SEARCH("ClusterCentroids",A23)),ISNUMBER(SEARCH("OneSidedSelection",A23)))   ),   "Over+Under",   IF(    OR(ISNUMBER(SEARCH("SMOTE",A23)),ISNUMBER(SEARCH("SVMSMOTE",A23)),ISNUMBER(SEARCH("RandomOverSampler",A23)),ISNUMBER(SEARCH("BorderlineSmote",A23))),    "Oversampling",    IF(     OR(ISNUMBER(SEARCH("RandomUnderSampler",A23)),ISNUMBER(SEARCH("ClusterCentroids",A23)),ISNUMBER(SEARCH("OneSidedSelection",A23))),     "Undersampler",     "Czysty"    )   )  ) )</f>
        <v>Over+Under</v>
      </c>
      <c r="C23" s="1" t="s">
        <v>74</v>
      </c>
      <c r="D23" s="1" t="n">
        <v>0.7963</v>
      </c>
      <c r="E23" s="1" t="n">
        <v>0.7974</v>
      </c>
      <c r="F23" s="1" t="n">
        <v>0.8025</v>
      </c>
      <c r="G23" s="1" t="n">
        <v>0.7997</v>
      </c>
      <c r="I23" s="1"/>
      <c r="J23" s="1"/>
      <c r="K23" s="1"/>
      <c r="L23" s="1"/>
      <c r="M23" s="1"/>
      <c r="N23" s="1"/>
    </row>
    <row r="24" customFormat="false" ht="13.8" hidden="false" customHeight="false" outlineLevel="0" collapsed="false">
      <c r="A24" s="1" t="s">
        <v>82</v>
      </c>
      <c r="B24" s="1" t="str">
        <f aca="false">IF(  OR(ISNUMBER(SEARCH("SMOTEENN",A24)),ISNUMBER(SEARCH("SMOTETomek",A24))),  "Hybrid",  IF(   AND(    OR(ISNUMBER(SEARCH("SMOTE",A24)),ISNUMBER(SEARCH("SVMSMOTE",A24)),ISNUMBER(SEARCH("RandomOverSampler",A24)),ISNUMBER(SEARCH("BorderlineSmote",A24))),    OR(ISNUMBER(SEARCH("RandomUnderSampler",A24)),ISNUMBER(SEARCH("ClusterCentroids",A24)),ISNUMBER(SEARCH("OneSidedSelection",A24)))   ),   "Over+Under",   IF(    OR(ISNUMBER(SEARCH("SMOTE",A24)),ISNUMBER(SEARCH("SVMSMOTE",A24)),ISNUMBER(SEARCH("RandomOverSampler",A24)),ISNUMBER(SEARCH("BorderlineSmote",A24))),    "Oversampling",    IF(     OR(ISNUMBER(SEARCH("RandomUnderSampler",A24)),ISNUMBER(SEARCH("ClusterCentroids",A24)),ISNUMBER(SEARCH("OneSidedSelection",A24))),     "Undersampler",     "Czysty"    )   )  ) )</f>
        <v>Over+Under</v>
      </c>
      <c r="C24" s="1" t="s">
        <v>74</v>
      </c>
      <c r="D24" s="1" t="n">
        <v>0.7944</v>
      </c>
      <c r="E24" s="1" t="n">
        <v>0.7953</v>
      </c>
      <c r="F24" s="1" t="n">
        <v>0.801</v>
      </c>
      <c r="G24" s="1" t="n">
        <v>0.7974</v>
      </c>
      <c r="I24" s="1"/>
      <c r="J24" s="1"/>
      <c r="K24" s="1"/>
      <c r="L24" s="1"/>
      <c r="M24" s="1"/>
      <c r="N24" s="1"/>
    </row>
    <row r="25" customFormat="false" ht="13.8" hidden="false" customHeight="false" outlineLevel="0" collapsed="false">
      <c r="A25" s="1" t="s">
        <v>80</v>
      </c>
      <c r="B25" s="1" t="str">
        <f aca="false">IF(  OR(ISNUMBER(SEARCH("SMOTEENN",A25)),ISNUMBER(SEARCH("SMOTETomek",A25))),  "Hybrid",  IF(   AND(    OR(ISNUMBER(SEARCH("SMOTE",A25)),ISNUMBER(SEARCH("SVMSMOTE",A25)),ISNUMBER(SEARCH("RandomOverSampler",A25)),ISNUMBER(SEARCH("BorderlineSmote",A25))),    OR(ISNUMBER(SEARCH("RandomUnderSampler",A25)),ISNUMBER(SEARCH("ClusterCentroids",A25)),ISNUMBER(SEARCH("OneSidedSelection",A25)))   ),   "Over+Under",   IF(    OR(ISNUMBER(SEARCH("SMOTE",A25)),ISNUMBER(SEARCH("SVMSMOTE",A25)),ISNUMBER(SEARCH("RandomOverSampler",A25)),ISNUMBER(SEARCH("BorderlineSmote",A25))),    "Oversampling",    IF(     OR(ISNUMBER(SEARCH("RandomUnderSampler",A25)),ISNUMBER(SEARCH("ClusterCentroids",A25)),ISNUMBER(SEARCH("OneSidedSelection",A25))),     "Undersampler",     "Czysty"    )   )  ) )</f>
        <v>Hybrid</v>
      </c>
      <c r="C25" s="1" t="s">
        <v>74</v>
      </c>
      <c r="D25" s="1" t="n">
        <v>0.7944</v>
      </c>
      <c r="E25" s="1" t="n">
        <v>0.7953</v>
      </c>
      <c r="F25" s="1" t="n">
        <v>0.7965</v>
      </c>
      <c r="G25" s="1" t="n">
        <v>0.7967</v>
      </c>
      <c r="I25" s="1"/>
      <c r="J25" s="1"/>
      <c r="K25" s="1"/>
      <c r="L25" s="1"/>
      <c r="M25" s="1"/>
      <c r="N25" s="1"/>
    </row>
    <row r="26" customFormat="false" ht="13.8" hidden="false" customHeight="false" outlineLevel="0" collapsed="false">
      <c r="A26" s="1" t="s">
        <v>126</v>
      </c>
      <c r="B26" s="1" t="str">
        <f aca="false">IF(  OR(ISNUMBER(SEARCH("SMOTEENN",A26)),ISNUMBER(SEARCH("SMOTETomek",A26))),  "Hybrid",  IF(   AND(    OR(ISNUMBER(SEARCH("SMOTE",A26)),ISNUMBER(SEARCH("SVMSMOTE",A26)),ISNUMBER(SEARCH("RandomOverSampler",A26)),ISNUMBER(SEARCH("BorderlineSmote",A26))),    OR(ISNUMBER(SEARCH("RandomUnderSampler",A26)),ISNUMBER(SEARCH("ClusterCentroids",A26)),ISNUMBER(SEARCH("OneSidedSelection",A26)))   ),   "Over+Under",   IF(    OR(ISNUMBER(SEARCH("SMOTE",A26)),ISNUMBER(SEARCH("SVMSMOTE",A26)),ISNUMBER(SEARCH("RandomOverSampler",A26)),ISNUMBER(SEARCH("BorderlineSmote",A26))),    "Oversampling",    IF(     OR(ISNUMBER(SEARCH("RandomUnderSampler",A26)),ISNUMBER(SEARCH("ClusterCentroids",A26)),ISNUMBER(SEARCH("OneSidedSelection",A26))),     "Undersampler",     "Czysty"    )   )  ) )</f>
        <v>Oversampling</v>
      </c>
      <c r="C26" s="1" t="s">
        <v>74</v>
      </c>
      <c r="D26" s="1" t="n">
        <v>0.7833</v>
      </c>
      <c r="E26" s="1" t="n">
        <v>0.7833</v>
      </c>
      <c r="F26" s="1" t="n">
        <v>0.7857</v>
      </c>
      <c r="G26" s="1" t="n">
        <v>0.7854</v>
      </c>
      <c r="I26" s="1"/>
      <c r="J26" s="1"/>
      <c r="K26" s="1"/>
      <c r="L26" s="1"/>
      <c r="M26" s="1"/>
      <c r="N26" s="1"/>
    </row>
    <row r="27" customFormat="false" ht="13.8" hidden="false" customHeight="false" outlineLevel="0" collapsed="false">
      <c r="A27" s="1" t="s">
        <v>81</v>
      </c>
      <c r="B27" s="1" t="str">
        <f aca="false">IF(  OR(ISNUMBER(SEARCH("SMOTEENN",A27)),ISNUMBER(SEARCH("SMOTETomek",A27))),  "Hybrid",  IF(   AND(    OR(ISNUMBER(SEARCH("SMOTE",A27)),ISNUMBER(SEARCH("SVMSMOTE",A27)),ISNUMBER(SEARCH("RandomOverSampler",A27)),ISNUMBER(SEARCH("BorderlineSmote",A27))),    OR(ISNUMBER(SEARCH("RandomUnderSampler",A27)),ISNUMBER(SEARCH("ClusterCentroids",A27)),ISNUMBER(SEARCH("OneSidedSelection",A27)))   ),   "Over+Under",   IF(    OR(ISNUMBER(SEARCH("SMOTE",A27)),ISNUMBER(SEARCH("SVMSMOTE",A27)),ISNUMBER(SEARCH("RandomOverSampler",A27)),ISNUMBER(SEARCH("BorderlineSmote",A27))),    "Oversampling",    IF(     OR(ISNUMBER(SEARCH("RandomUnderSampler",A27)),ISNUMBER(SEARCH("ClusterCentroids",A27)),ISNUMBER(SEARCH("OneSidedSelection",A27))),     "Undersampler",     "Czysty"    )   )  ) )</f>
        <v>Oversampling</v>
      </c>
      <c r="C27" s="1" t="s">
        <v>74</v>
      </c>
      <c r="D27" s="1" t="n">
        <v>0.7815</v>
      </c>
      <c r="E27" s="1" t="n">
        <v>0.7822</v>
      </c>
      <c r="F27" s="1" t="n">
        <v>0.787</v>
      </c>
      <c r="G27" s="1" t="n">
        <v>0.784</v>
      </c>
      <c r="I27" s="1"/>
      <c r="J27" s="1"/>
      <c r="K27" s="1"/>
      <c r="L27" s="1"/>
      <c r="M27" s="1"/>
      <c r="N27" s="1"/>
    </row>
    <row r="28" customFormat="false" ht="13.8" hidden="false" customHeight="false" outlineLevel="0" collapsed="false">
      <c r="A28" s="1" t="s">
        <v>79</v>
      </c>
      <c r="B28" s="1" t="str">
        <f aca="false">IF(  OR(ISNUMBER(SEARCH("SMOTEENN",A28)),ISNUMBER(SEARCH("SMOTETomek",A28))),  "Hybrid",  IF(   AND(    OR(ISNUMBER(SEARCH("SMOTE",A28)),ISNUMBER(SEARCH("SVMSMOTE",A28)),ISNUMBER(SEARCH("RandomOverSampler",A28)),ISNUMBER(SEARCH("BorderlineSmote",A28))),    OR(ISNUMBER(SEARCH("RandomUnderSampler",A28)),ISNUMBER(SEARCH("ClusterCentroids",A28)),ISNUMBER(SEARCH("OneSidedSelection",A28)))   ),   "Over+Under",   IF(    OR(ISNUMBER(SEARCH("SMOTE",A28)),ISNUMBER(SEARCH("SVMSMOTE",A28)),ISNUMBER(SEARCH("RandomOverSampler",A28)),ISNUMBER(SEARCH("BorderlineSmote",A28))),    "Oversampling",    IF(     OR(ISNUMBER(SEARCH("RandomUnderSampler",A28)),ISNUMBER(SEARCH("ClusterCentroids",A28)),ISNUMBER(SEARCH("OneSidedSelection",A28))),     "Undersampler",     "Czysty"    )   )  ) )</f>
        <v>Oversampling</v>
      </c>
      <c r="C28" s="1" t="s">
        <v>74</v>
      </c>
      <c r="D28" s="1" t="n">
        <v>0.7815</v>
      </c>
      <c r="E28" s="1" t="n">
        <v>0.7806</v>
      </c>
      <c r="F28" s="1" t="n">
        <v>0.7893</v>
      </c>
      <c r="G28" s="1" t="n">
        <v>0.7842</v>
      </c>
      <c r="I28" s="1"/>
      <c r="J28" s="1"/>
      <c r="K28" s="1"/>
      <c r="L28" s="1"/>
      <c r="M28" s="1"/>
      <c r="N28" s="1"/>
    </row>
    <row r="29" customFormat="false" ht="13.8" hidden="false" customHeight="false" outlineLevel="0" collapsed="false">
      <c r="A29" s="1" t="s">
        <v>125</v>
      </c>
      <c r="B29" s="1" t="str">
        <f aca="false">IF(  OR(ISNUMBER(SEARCH("SMOTEENN",A29)),ISNUMBER(SEARCH("SMOTETomek",A29))),  "Hybrid",  IF(   AND(    OR(ISNUMBER(SEARCH("SMOTE",A29)),ISNUMBER(SEARCH("SVMSMOTE",A29)),ISNUMBER(SEARCH("RandomOverSampler",A29)),ISNUMBER(SEARCH("BorderlineSmote",A29))),    OR(ISNUMBER(SEARCH("RandomUnderSampler",A29)),ISNUMBER(SEARCH("ClusterCentroids",A29)),ISNUMBER(SEARCH("OneSidedSelection",A29)))   ),   "Over+Under",   IF(    OR(ISNUMBER(SEARCH("SMOTE",A29)),ISNUMBER(SEARCH("SVMSMOTE",A29)),ISNUMBER(SEARCH("RandomOverSampler",A29)),ISNUMBER(SEARCH("BorderlineSmote",A29))),    "Oversampling",    IF(     OR(ISNUMBER(SEARCH("RandomUnderSampler",A29)),ISNUMBER(SEARCH("ClusterCentroids",A29)),ISNUMBER(SEARCH("OneSidedSelection",A29))),     "Undersampler",     "Czysty"    )   )  ) )</f>
        <v>Over+Under</v>
      </c>
      <c r="C29" s="1" t="s">
        <v>74</v>
      </c>
      <c r="D29" s="1" t="n">
        <v>0.7778</v>
      </c>
      <c r="E29" s="1" t="n">
        <v>0.7768</v>
      </c>
      <c r="F29" s="1" t="n">
        <v>0.7804</v>
      </c>
      <c r="G29" s="1" t="n">
        <v>0.7787</v>
      </c>
      <c r="I29" s="1"/>
      <c r="J29" s="1"/>
      <c r="K29" s="1"/>
      <c r="L29" s="1"/>
      <c r="M29" s="1"/>
      <c r="N29" s="1"/>
    </row>
    <row r="30" customFormat="false" ht="13.8" hidden="false" customHeight="false" outlineLevel="0" collapsed="false">
      <c r="A30" s="1" t="s">
        <v>87</v>
      </c>
      <c r="B30" s="1" t="str">
        <f aca="false">IF(  OR(ISNUMBER(SEARCH("SMOTEENN",A30)),ISNUMBER(SEARCH("SMOTETomek",A30))),  "Hybrid",  IF(   AND(    OR(ISNUMBER(SEARCH("SMOTE",A30)),ISNUMBER(SEARCH("SVMSMOTE",A30)),ISNUMBER(SEARCH("RandomOverSampler",A30)),ISNUMBER(SEARCH("BorderlineSmote",A30))),    OR(ISNUMBER(SEARCH("RandomUnderSampler",A30)),ISNUMBER(SEARCH("ClusterCentroids",A30)),ISNUMBER(SEARCH("OneSidedSelection",A30)))   ),   "Over+Under",   IF(    OR(ISNUMBER(SEARCH("SMOTE",A30)),ISNUMBER(SEARCH("SVMSMOTE",A30)),ISNUMBER(SEARCH("RandomOverSampler",A30)),ISNUMBER(SEARCH("BorderlineSmote",A30))),    "Oversampling",    IF(     OR(ISNUMBER(SEARCH("RandomUnderSampler",A30)),ISNUMBER(SEARCH("ClusterCentroids",A30)),ISNUMBER(SEARCH("OneSidedSelection",A30))),     "Undersampler",     "Czysty"    )   )  ) )</f>
        <v>Hybrid</v>
      </c>
      <c r="C30" s="1" t="s">
        <v>74</v>
      </c>
      <c r="D30" s="1" t="n">
        <v>0.6889</v>
      </c>
      <c r="E30" s="1" t="n">
        <v>0.6363</v>
      </c>
      <c r="F30" s="1" t="n">
        <v>0.616</v>
      </c>
      <c r="G30" s="1" t="n">
        <v>0.7029</v>
      </c>
      <c r="I30" s="1"/>
      <c r="J30" s="1"/>
      <c r="K30" s="1"/>
      <c r="L30" s="1"/>
      <c r="M30" s="1"/>
      <c r="N30" s="1"/>
    </row>
    <row r="31" customFormat="false" ht="13.8" hidden="false" customHeight="false" outlineLevel="0" collapsed="false">
      <c r="A31" s="1" t="s">
        <v>88</v>
      </c>
      <c r="B31" s="1" t="str">
        <f aca="false">IF(  OR(ISNUMBER(SEARCH("SMOTEENN",A31)),ISNUMBER(SEARCH("SMOTETomek",A31))),  "Hybrid",  IF(   AND(    OR(ISNUMBER(SEARCH("SMOTE",A31)),ISNUMBER(SEARCH("SVMSMOTE",A31)),ISNUMBER(SEARCH("RandomOverSampler",A31)),ISNUMBER(SEARCH("BorderlineSmote",A31))),    OR(ISNUMBER(SEARCH("RandomUnderSampler",A31)),ISNUMBER(SEARCH("ClusterCentroids",A31)),ISNUMBER(SEARCH("OneSidedSelection",A31)))   ),   "Over+Under",   IF(    OR(ISNUMBER(SEARCH("SMOTE",A31)),ISNUMBER(SEARCH("SVMSMOTE",A31)),ISNUMBER(SEARCH("RandomOverSampler",A31)),ISNUMBER(SEARCH("BorderlineSmote",A31))),    "Oversampling",    IF(     OR(ISNUMBER(SEARCH("RandomUnderSampler",A31)),ISNUMBER(SEARCH("ClusterCentroids",A31)),ISNUMBER(SEARCH("OneSidedSelection",A31))),     "Undersampler",     "Czysty"    )   )  ) )</f>
        <v>Over+Under</v>
      </c>
      <c r="C31" s="1" t="s">
        <v>74</v>
      </c>
      <c r="D31" s="1" t="n">
        <v>0.6778</v>
      </c>
      <c r="E31" s="1" t="n">
        <v>0.5601</v>
      </c>
      <c r="F31" s="1" t="n">
        <v>0.5014</v>
      </c>
      <c r="G31" s="1" t="n">
        <v>0.6667</v>
      </c>
      <c r="I31" s="1"/>
      <c r="J31" s="1"/>
      <c r="K31" s="1"/>
      <c r="L31" s="1"/>
      <c r="M31" s="1"/>
      <c r="N31" s="1"/>
    </row>
    <row r="32" customFormat="false" ht="13.8" hidden="false" customHeight="false" outlineLevel="0" collapsed="false">
      <c r="A32" s="1" t="s">
        <v>84</v>
      </c>
      <c r="B32" s="1" t="str">
        <f aca="false">IF(  OR(ISNUMBER(SEARCH("SMOTEENN",A32)),ISNUMBER(SEARCH("SMOTETomek",A32))),  "Hybrid",  IF(   AND(    OR(ISNUMBER(SEARCH("SMOTE",A32)),ISNUMBER(SEARCH("SVMSMOTE",A32)),ISNUMBER(SEARCH("RandomOverSampler",A32)),ISNUMBER(SEARCH("BorderlineSmote",A32))),    OR(ISNUMBER(SEARCH("RandomUnderSampler",A32)),ISNUMBER(SEARCH("ClusterCentroids",A32)),ISNUMBER(SEARCH("OneSidedSelection",A32)))   ),   "Over+Under",   IF(    OR(ISNUMBER(SEARCH("SMOTE",A32)),ISNUMBER(SEARCH("SVMSMOTE",A32)),ISNUMBER(SEARCH("RandomOverSampler",A32)),ISNUMBER(SEARCH("BorderlineSmote",A32))),    "Oversampling",    IF(     OR(ISNUMBER(SEARCH("RandomUnderSampler",A32)),ISNUMBER(SEARCH("ClusterCentroids",A32)),ISNUMBER(SEARCH("OneSidedSelection",A32))),     "Undersampler",     "Czysty"    )   )  ) )</f>
        <v>Over+Under</v>
      </c>
      <c r="C32" s="1" t="s">
        <v>74</v>
      </c>
      <c r="D32" s="1" t="n">
        <v>0.6759</v>
      </c>
      <c r="E32" s="1" t="n">
        <v>0.5587</v>
      </c>
      <c r="F32" s="1" t="n">
        <v>0.501</v>
      </c>
      <c r="G32" s="1" t="n">
        <v>0.6648</v>
      </c>
      <c r="I32" s="1"/>
      <c r="J32" s="1"/>
      <c r="K32" s="1"/>
      <c r="L32" s="1"/>
      <c r="M32" s="1"/>
      <c r="N32" s="1"/>
    </row>
    <row r="34" customFormat="false" ht="13.8" hidden="false" customHeight="false" outlineLevel="0" collapsed="false">
      <c r="A34" s="2" t="s">
        <v>17</v>
      </c>
      <c r="B34" s="2"/>
      <c r="C34" s="2"/>
      <c r="D34" s="2"/>
      <c r="E34" s="2"/>
      <c r="F34" s="2"/>
      <c r="G34" s="2"/>
    </row>
    <row r="35" customFormat="false" ht="13.8" hidden="false" customHeight="false" outlineLevel="0" collapsed="false">
      <c r="A35" s="4" t="s">
        <v>2</v>
      </c>
      <c r="B35" s="4" t="s">
        <v>4</v>
      </c>
      <c r="C35" s="4" t="s">
        <v>5</v>
      </c>
      <c r="D35" s="4" t="s">
        <v>6</v>
      </c>
      <c r="E35" s="4" t="s">
        <v>127</v>
      </c>
      <c r="F35" s="4" t="s">
        <v>9</v>
      </c>
      <c r="G35" s="4" t="s">
        <v>10</v>
      </c>
    </row>
    <row r="36" customFormat="false" ht="13.8" hidden="false" customHeight="false" outlineLevel="0" collapsed="false">
      <c r="A36" s="1" t="s">
        <v>124</v>
      </c>
      <c r="B36" s="1" t="str">
        <f aca="false">IF(  OR(ISNUMBER(SEARCH("SMOTEENN",A36)),ISNUMBER(SEARCH("SMOTETomek",A36))),  "Hybrid",  IF(   AND(    OR(ISNUMBER(SEARCH("SMOTE",A36)),ISNUMBER(SEARCH("SVMSMOTE",A36)),ISNUMBER(SEARCH("RandomOverSampler",A36)),ISNUMBER(SEARCH("BorderlineSmote",A36))),    OR(ISNUMBER(SEARCH("RandomUnderSampler",A36)),ISNUMBER(SEARCH("ClusterCentroids",A36)),ISNUMBER(SEARCH("OneSidedSelection",A36)))   ),   "Over+Under",   IF(    OR(ISNUMBER(SEARCH("SMOTE",A36)),ISNUMBER(SEARCH("SVMSMOTE",A36)),ISNUMBER(SEARCH("RandomOverSampler",A36)),ISNUMBER(SEARCH("BorderlineSmote",A36))),    "Oversampling",    IF(     OR(ISNUMBER(SEARCH("RandomUnderSampler",A36)),ISNUMBER(SEARCH("ClusterCentroids",A36)),ISNUMBER(SEARCH("OneSidedSelection",A36))),     "Undersampler",     "Czysty"    )   )  ) )</f>
        <v>Over+Under</v>
      </c>
      <c r="C36" s="1" t="s">
        <v>14</v>
      </c>
      <c r="D36" s="1" t="n">
        <v>0.7889</v>
      </c>
      <c r="E36" s="1" t="n">
        <v>0.7913</v>
      </c>
      <c r="F36" s="1" t="n">
        <v>0.7963</v>
      </c>
      <c r="G36" s="1" t="n">
        <v>0.7917</v>
      </c>
      <c r="I36" s="1"/>
      <c r="J36" s="1"/>
      <c r="K36" s="1"/>
      <c r="L36" s="1"/>
      <c r="M36" s="1"/>
      <c r="N36" s="1"/>
    </row>
    <row r="37" customFormat="false" ht="13.8" hidden="false" customHeight="false" outlineLevel="0" collapsed="false">
      <c r="A37" s="1" t="s">
        <v>126</v>
      </c>
      <c r="B37" s="1" t="str">
        <f aca="false">IF(  OR(ISNUMBER(SEARCH("SMOTEENN",A37)),ISNUMBER(SEARCH("SMOTETomek",A37))),  "Hybrid",  IF(   AND(    OR(ISNUMBER(SEARCH("SMOTE",A37)),ISNUMBER(SEARCH("SVMSMOTE",A37)),ISNUMBER(SEARCH("RandomOverSampler",A37)),ISNUMBER(SEARCH("BorderlineSmote",A37))),    OR(ISNUMBER(SEARCH("RandomUnderSampler",A37)),ISNUMBER(SEARCH("ClusterCentroids",A37)),ISNUMBER(SEARCH("OneSidedSelection",A37)))   ),   "Over+Under",   IF(    OR(ISNUMBER(SEARCH("SMOTE",A37)),ISNUMBER(SEARCH("SVMSMOTE",A37)),ISNUMBER(SEARCH("RandomOverSampler",A37)),ISNUMBER(SEARCH("BorderlineSmote",A37))),    "Oversampling",    IF(     OR(ISNUMBER(SEARCH("RandomUnderSampler",A37)),ISNUMBER(SEARCH("ClusterCentroids",A37)),ISNUMBER(SEARCH("OneSidedSelection",A37))),     "Undersampler",     "Czysty"    )   )  ) )</f>
        <v>Oversampling</v>
      </c>
      <c r="C37" s="1" t="s">
        <v>14</v>
      </c>
      <c r="D37" s="1" t="n">
        <v>0.7815</v>
      </c>
      <c r="E37" s="1" t="n">
        <v>0.7824</v>
      </c>
      <c r="F37" s="1" t="n">
        <v>0.7958</v>
      </c>
      <c r="G37" s="1" t="n">
        <v>0.7833</v>
      </c>
      <c r="I37" s="1"/>
      <c r="J37" s="1"/>
      <c r="K37" s="1"/>
      <c r="L37" s="1"/>
      <c r="M37" s="1"/>
      <c r="N37" s="1"/>
    </row>
    <row r="38" customFormat="false" ht="13.8" hidden="false" customHeight="false" outlineLevel="0" collapsed="false">
      <c r="A38" s="1" t="s">
        <v>83</v>
      </c>
      <c r="B38" s="1" t="str">
        <f aca="false">IF(  OR(ISNUMBER(SEARCH("SMOTEENN",A38)),ISNUMBER(SEARCH("SMOTETomek",A38))),  "Hybrid",  IF(   AND(    OR(ISNUMBER(SEARCH("SMOTE",A38)),ISNUMBER(SEARCH("SVMSMOTE",A38)),ISNUMBER(SEARCH("RandomOverSampler",A38)),ISNUMBER(SEARCH("BorderlineSmote",A38))),    OR(ISNUMBER(SEARCH("RandomUnderSampler",A38)),ISNUMBER(SEARCH("ClusterCentroids",A38)),ISNUMBER(SEARCH("OneSidedSelection",A38)))   ),   "Over+Under",   IF(    OR(ISNUMBER(SEARCH("SMOTE",A38)),ISNUMBER(SEARCH("SVMSMOTE",A38)),ISNUMBER(SEARCH("RandomOverSampler",A38)),ISNUMBER(SEARCH("BorderlineSmote",A38))),    "Oversampling",    IF(     OR(ISNUMBER(SEARCH("RandomUnderSampler",A38)),ISNUMBER(SEARCH("ClusterCentroids",A38)),ISNUMBER(SEARCH("OneSidedSelection",A38))),     "Undersampler",     "Czysty"    )   )  ) )</f>
        <v>Over+Under</v>
      </c>
      <c r="C38" s="1" t="s">
        <v>14</v>
      </c>
      <c r="D38" s="1" t="n">
        <v>0.7778</v>
      </c>
      <c r="E38" s="1" t="n">
        <v>0.777</v>
      </c>
      <c r="F38" s="1" t="n">
        <v>0.7821</v>
      </c>
      <c r="G38" s="1" t="n">
        <v>0.7807</v>
      </c>
      <c r="I38" s="1"/>
      <c r="J38" s="1"/>
      <c r="K38" s="1"/>
      <c r="L38" s="1"/>
      <c r="M38" s="1"/>
      <c r="N38" s="1"/>
    </row>
    <row r="39" customFormat="false" ht="13.8" hidden="false" customHeight="false" outlineLevel="0" collapsed="false">
      <c r="A39" s="1" t="s">
        <v>80</v>
      </c>
      <c r="B39" s="1" t="str">
        <f aca="false">IF(  OR(ISNUMBER(SEARCH("SMOTEENN",A39)),ISNUMBER(SEARCH("SMOTETomek",A39))),  "Hybrid",  IF(   AND(    OR(ISNUMBER(SEARCH("SMOTE",A39)),ISNUMBER(SEARCH("SVMSMOTE",A39)),ISNUMBER(SEARCH("RandomOverSampler",A39)),ISNUMBER(SEARCH("BorderlineSmote",A39))),    OR(ISNUMBER(SEARCH("RandomUnderSampler",A39)),ISNUMBER(SEARCH("ClusterCentroids",A39)),ISNUMBER(SEARCH("OneSidedSelection",A39)))   ),   "Over+Under",   IF(    OR(ISNUMBER(SEARCH("SMOTE",A39)),ISNUMBER(SEARCH("SVMSMOTE",A39)),ISNUMBER(SEARCH("RandomOverSampler",A39)),ISNUMBER(SEARCH("BorderlineSmote",A39))),    "Oversampling",    IF(     OR(ISNUMBER(SEARCH("RandomUnderSampler",A39)),ISNUMBER(SEARCH("ClusterCentroids",A39)),ISNUMBER(SEARCH("OneSidedSelection",A39))),     "Undersampler",     "Czysty"    )   )  ) )</f>
        <v>Hybrid</v>
      </c>
      <c r="C39" s="1" t="s">
        <v>14</v>
      </c>
      <c r="D39" s="1" t="n">
        <v>0.7741</v>
      </c>
      <c r="E39" s="1" t="n">
        <v>0.7737</v>
      </c>
      <c r="F39" s="1" t="n">
        <v>0.7742</v>
      </c>
      <c r="G39" s="1" t="n">
        <v>0.776</v>
      </c>
      <c r="I39" s="1"/>
      <c r="J39" s="1"/>
      <c r="K39" s="1"/>
      <c r="L39" s="1"/>
      <c r="M39" s="1"/>
      <c r="N39" s="1"/>
    </row>
    <row r="40" customFormat="false" ht="13.8" hidden="false" customHeight="false" outlineLevel="0" collapsed="false">
      <c r="A40" s="1" t="s">
        <v>79</v>
      </c>
      <c r="B40" s="1" t="str">
        <f aca="false">IF(  OR(ISNUMBER(SEARCH("SMOTEENN",A40)),ISNUMBER(SEARCH("SMOTETomek",A40))),  "Hybrid",  IF(   AND(    OR(ISNUMBER(SEARCH("SMOTE",A40)),ISNUMBER(SEARCH("SVMSMOTE",A40)),ISNUMBER(SEARCH("RandomOverSampler",A40)),ISNUMBER(SEARCH("BorderlineSmote",A40))),    OR(ISNUMBER(SEARCH("RandomUnderSampler",A40)),ISNUMBER(SEARCH("ClusterCentroids",A40)),ISNUMBER(SEARCH("OneSidedSelection",A40)))   ),   "Over+Under",   IF(    OR(ISNUMBER(SEARCH("SMOTE",A40)),ISNUMBER(SEARCH("SVMSMOTE",A40)),ISNUMBER(SEARCH("RandomOverSampler",A40)),ISNUMBER(SEARCH("BorderlineSmote",A40))),    "Oversampling",    IF(     OR(ISNUMBER(SEARCH("RandomUnderSampler",A40)),ISNUMBER(SEARCH("ClusterCentroids",A40)),ISNUMBER(SEARCH("OneSidedSelection",A40))),     "Undersampler",     "Czysty"    )   )  ) )</f>
        <v>Oversampling</v>
      </c>
      <c r="C40" s="1" t="s">
        <v>14</v>
      </c>
      <c r="D40" s="1" t="n">
        <v>0.7667</v>
      </c>
      <c r="E40" s="1" t="n">
        <v>0.7665</v>
      </c>
      <c r="F40" s="1" t="n">
        <v>0.7753</v>
      </c>
      <c r="G40" s="1" t="n">
        <v>0.769</v>
      </c>
      <c r="I40" s="1"/>
      <c r="J40" s="1"/>
      <c r="K40" s="1"/>
      <c r="L40" s="1"/>
      <c r="M40" s="1"/>
      <c r="N40" s="1"/>
    </row>
    <row r="41" customFormat="false" ht="13.8" hidden="false" customHeight="false" outlineLevel="0" collapsed="false">
      <c r="A41" s="1" t="s">
        <v>125</v>
      </c>
      <c r="B41" s="1" t="str">
        <f aca="false">IF(  OR(ISNUMBER(SEARCH("SMOTEENN",A41)),ISNUMBER(SEARCH("SMOTETomek",A41))),  "Hybrid",  IF(   AND(    OR(ISNUMBER(SEARCH("SMOTE",A41)),ISNUMBER(SEARCH("SVMSMOTE",A41)),ISNUMBER(SEARCH("RandomOverSampler",A41)),ISNUMBER(SEARCH("BorderlineSmote",A41))),    OR(ISNUMBER(SEARCH("RandomUnderSampler",A41)),ISNUMBER(SEARCH("ClusterCentroids",A41)),ISNUMBER(SEARCH("OneSidedSelection",A41)))   ),   "Over+Under",   IF(    OR(ISNUMBER(SEARCH("SMOTE",A41)),ISNUMBER(SEARCH("SVMSMOTE",A41)),ISNUMBER(SEARCH("RandomOverSampler",A41)),ISNUMBER(SEARCH("BorderlineSmote",A41))),    "Oversampling",    IF(     OR(ISNUMBER(SEARCH("RandomUnderSampler",A41)),ISNUMBER(SEARCH("ClusterCentroids",A41)),ISNUMBER(SEARCH("OneSidedSelection",A41))),     "Undersampler",     "Czysty"    )   )  ) )</f>
        <v>Over+Under</v>
      </c>
      <c r="C41" s="1" t="s">
        <v>14</v>
      </c>
      <c r="D41" s="1" t="n">
        <v>0.7611</v>
      </c>
      <c r="E41" s="1" t="n">
        <v>0.7628</v>
      </c>
      <c r="F41" s="1" t="n">
        <v>0.7704</v>
      </c>
      <c r="G41" s="1" t="n">
        <v>0.7629</v>
      </c>
      <c r="I41" s="1"/>
      <c r="J41" s="1"/>
      <c r="K41" s="1"/>
      <c r="L41" s="1"/>
      <c r="M41" s="1"/>
      <c r="N41" s="1"/>
    </row>
    <row r="42" customFormat="false" ht="13.8" hidden="false" customHeight="false" outlineLevel="0" collapsed="false">
      <c r="A42" s="1" t="s">
        <v>123</v>
      </c>
      <c r="B42" s="1" t="str">
        <f aca="false">IF(  OR(ISNUMBER(SEARCH("SMOTEENN",A42)),ISNUMBER(SEARCH("SMOTETomek",A42))),  "Hybrid",  IF(   AND(    OR(ISNUMBER(SEARCH("SMOTE",A42)),ISNUMBER(SEARCH("SVMSMOTE",A42)),ISNUMBER(SEARCH("RandomOverSampler",A42)),ISNUMBER(SEARCH("BorderlineSmote",A42))),    OR(ISNUMBER(SEARCH("RandomUnderSampler",A42)),ISNUMBER(SEARCH("ClusterCentroids",A42)),ISNUMBER(SEARCH("OneSidedSelection",A42)))   ),   "Over+Under",   IF(    OR(ISNUMBER(SEARCH("SMOTE",A42)),ISNUMBER(SEARCH("SVMSMOTE",A42)),ISNUMBER(SEARCH("RandomOverSampler",A42)),ISNUMBER(SEARCH("BorderlineSmote",A42))),    "Oversampling",    IF(     OR(ISNUMBER(SEARCH("RandomUnderSampler",A42)),ISNUMBER(SEARCH("ClusterCentroids",A42)),ISNUMBER(SEARCH("OneSidedSelection",A42))),     "Undersampler",     "Czysty"    )   )  ) )</f>
        <v>Oversampling</v>
      </c>
      <c r="C42" s="1" t="s">
        <v>14</v>
      </c>
      <c r="D42" s="1" t="n">
        <v>0.7574</v>
      </c>
      <c r="E42" s="1" t="n">
        <v>0.7584</v>
      </c>
      <c r="F42" s="1" t="n">
        <v>0.7645</v>
      </c>
      <c r="G42" s="1" t="n">
        <v>0.7573</v>
      </c>
      <c r="I42" s="1"/>
      <c r="J42" s="1"/>
      <c r="K42" s="1"/>
      <c r="L42" s="1"/>
      <c r="M42" s="1"/>
      <c r="N42" s="1"/>
    </row>
    <row r="43" customFormat="false" ht="13.8" hidden="false" customHeight="false" outlineLevel="0" collapsed="false">
      <c r="A43" s="1" t="s">
        <v>85</v>
      </c>
      <c r="B43" s="1" t="str">
        <f aca="false">IF(  OR(ISNUMBER(SEARCH("SMOTEENN",A43)),ISNUMBER(SEARCH("SMOTETomek",A43))),  "Hybrid",  IF(   AND(    OR(ISNUMBER(SEARCH("SMOTE",A43)),ISNUMBER(SEARCH("SVMSMOTE",A43)),ISNUMBER(SEARCH("RandomOverSampler",A43)),ISNUMBER(SEARCH("BorderlineSmote",A43))),    OR(ISNUMBER(SEARCH("RandomUnderSampler",A43)),ISNUMBER(SEARCH("ClusterCentroids",A43)),ISNUMBER(SEARCH("OneSidedSelection",A43)))   ),   "Over+Under",   IF(    OR(ISNUMBER(SEARCH("SMOTE",A43)),ISNUMBER(SEARCH("SVMSMOTE",A43)),ISNUMBER(SEARCH("RandomOverSampler",A43)),ISNUMBER(SEARCH("BorderlineSmote",A43))),    "Oversampling",    IF(     OR(ISNUMBER(SEARCH("RandomUnderSampler",A43)),ISNUMBER(SEARCH("ClusterCentroids",A43)),ISNUMBER(SEARCH("OneSidedSelection",A43))),     "Undersampler",     "Czysty"    )   )  ) )</f>
        <v>Over+Under</v>
      </c>
      <c r="C43" s="1" t="s">
        <v>14</v>
      </c>
      <c r="D43" s="1" t="n">
        <v>0.75</v>
      </c>
      <c r="E43" s="1" t="n">
        <v>0.7521</v>
      </c>
      <c r="F43" s="1" t="n">
        <v>0.7587</v>
      </c>
      <c r="G43" s="1" t="n">
        <v>0.7527</v>
      </c>
      <c r="I43" s="1"/>
      <c r="J43" s="1"/>
      <c r="K43" s="1"/>
      <c r="L43" s="1"/>
      <c r="M43" s="1"/>
      <c r="N43" s="1"/>
    </row>
    <row r="44" customFormat="false" ht="13.8" hidden="false" customHeight="false" outlineLevel="0" collapsed="false">
      <c r="A44" s="1" t="s">
        <v>82</v>
      </c>
      <c r="B44" s="1" t="str">
        <f aca="false">IF(  OR(ISNUMBER(SEARCH("SMOTEENN",A44)),ISNUMBER(SEARCH("SMOTETomek",A44))),  "Hybrid",  IF(   AND(    OR(ISNUMBER(SEARCH("SMOTE",A44)),ISNUMBER(SEARCH("SVMSMOTE",A44)),ISNUMBER(SEARCH("RandomOverSampler",A44)),ISNUMBER(SEARCH("BorderlineSmote",A44))),    OR(ISNUMBER(SEARCH("RandomUnderSampler",A44)),ISNUMBER(SEARCH("ClusterCentroids",A44)),ISNUMBER(SEARCH("OneSidedSelection",A44)))   ),   "Over+Under",   IF(    OR(ISNUMBER(SEARCH("SMOTE",A44)),ISNUMBER(SEARCH("SVMSMOTE",A44)),ISNUMBER(SEARCH("RandomOverSampler",A44)),ISNUMBER(SEARCH("BorderlineSmote",A44))),    "Oversampling",    IF(     OR(ISNUMBER(SEARCH("RandomUnderSampler",A44)),ISNUMBER(SEARCH("ClusterCentroids",A44)),ISNUMBER(SEARCH("OneSidedSelection",A44))),     "Undersampler",     "Czysty"    )   )  ) )</f>
        <v>Over+Under</v>
      </c>
      <c r="C44" s="1" t="s">
        <v>14</v>
      </c>
      <c r="D44" s="1" t="n">
        <v>0.7481</v>
      </c>
      <c r="E44" s="1" t="n">
        <v>0.7521</v>
      </c>
      <c r="F44" s="1" t="n">
        <v>0.7579</v>
      </c>
      <c r="G44" s="1" t="n">
        <v>0.7497</v>
      </c>
      <c r="I44" s="1"/>
      <c r="J44" s="1"/>
      <c r="K44" s="1"/>
      <c r="L44" s="1"/>
      <c r="M44" s="1"/>
      <c r="N44" s="1"/>
    </row>
    <row r="45" customFormat="false" ht="13.8" hidden="false" customHeight="false" outlineLevel="0" collapsed="false">
      <c r="A45" s="1" t="s">
        <v>17</v>
      </c>
      <c r="B45" s="1" t="str">
        <f aca="false">IF(  OR(ISNUMBER(SEARCH("SMOTEENN",A45)),ISNUMBER(SEARCH("SMOTETomek",A45))),  "Hybrid",  IF(   AND(    OR(ISNUMBER(SEARCH("SMOTE",A45)),ISNUMBER(SEARCH("SVMSMOTE",A45)),ISNUMBER(SEARCH("RandomOverSampler",A45)),ISNUMBER(SEARCH("BorderlineSmote",A45))),    OR(ISNUMBER(SEARCH("RandomUnderSampler",A45)),ISNUMBER(SEARCH("ClusterCentroids",A45)),ISNUMBER(SEARCH("OneSidedSelection",A45)))   ),   "Over+Under",   IF(    OR(ISNUMBER(SEARCH("SMOTE",A45)),ISNUMBER(SEARCH("SVMSMOTE",A45)),ISNUMBER(SEARCH("RandomOverSampler",A45)),ISNUMBER(SEARCH("BorderlineSmote",A45))),    "Oversampling",    IF(     OR(ISNUMBER(SEARCH("RandomUnderSampler",A45)),ISNUMBER(SEARCH("ClusterCentroids",A45)),ISNUMBER(SEARCH("OneSidedSelection",A45))),     "Undersampler",     "Czysty"    )   )  ) )</f>
        <v>Czysty</v>
      </c>
      <c r="C45" s="1" t="s">
        <v>14</v>
      </c>
      <c r="D45" s="1" t="n">
        <v>0.7481</v>
      </c>
      <c r="E45" s="1" t="n">
        <v>0.7477</v>
      </c>
      <c r="F45" s="1" t="n">
        <v>0.7578</v>
      </c>
      <c r="G45" s="1" t="n">
        <v>0.7483</v>
      </c>
      <c r="I45" s="1"/>
      <c r="J45" s="1"/>
      <c r="K45" s="1"/>
      <c r="L45" s="1"/>
      <c r="M45" s="1"/>
      <c r="N45" s="1"/>
    </row>
    <row r="46" customFormat="false" ht="13.8" hidden="false" customHeight="false" outlineLevel="0" collapsed="false">
      <c r="A46" s="1" t="s">
        <v>86</v>
      </c>
      <c r="B46" s="1" t="str">
        <f aca="false">IF(  OR(ISNUMBER(SEARCH("SMOTEENN",A46)),ISNUMBER(SEARCH("SMOTETomek",A46))),  "Hybrid",  IF(   AND(    OR(ISNUMBER(SEARCH("SMOTE",A46)),ISNUMBER(SEARCH("SVMSMOTE",A46)),ISNUMBER(SEARCH("RandomOverSampler",A46)),ISNUMBER(SEARCH("BorderlineSmote",A46))),    OR(ISNUMBER(SEARCH("RandomUnderSampler",A46)),ISNUMBER(SEARCH("ClusterCentroids",A46)),ISNUMBER(SEARCH("OneSidedSelection",A46)))   ),   "Over+Under",   IF(    OR(ISNUMBER(SEARCH("SMOTE",A46)),ISNUMBER(SEARCH("SVMSMOTE",A46)),ISNUMBER(SEARCH("RandomOverSampler",A46)),ISNUMBER(SEARCH("BorderlineSmote",A46))),    "Oversampling",    IF(     OR(ISNUMBER(SEARCH("RandomUnderSampler",A46)),ISNUMBER(SEARCH("ClusterCentroids",A46)),ISNUMBER(SEARCH("OneSidedSelection",A46))),     "Undersampler",     "Czysty"    )   )  ) )</f>
        <v>Over+Under</v>
      </c>
      <c r="C46" s="1" t="s">
        <v>14</v>
      </c>
      <c r="D46" s="1" t="n">
        <v>0.7426</v>
      </c>
      <c r="E46" s="1" t="n">
        <v>0.7429</v>
      </c>
      <c r="F46" s="1" t="n">
        <v>0.7483</v>
      </c>
      <c r="G46" s="1" t="n">
        <v>0.7456</v>
      </c>
      <c r="I46" s="1"/>
      <c r="J46" s="1"/>
      <c r="K46" s="1"/>
      <c r="L46" s="1"/>
      <c r="M46" s="1"/>
      <c r="N46" s="1"/>
    </row>
    <row r="47" customFormat="false" ht="13.8" hidden="false" customHeight="false" outlineLevel="0" collapsed="false">
      <c r="A47" s="1" t="s">
        <v>81</v>
      </c>
      <c r="B47" s="1" t="str">
        <f aca="false">IF(  OR(ISNUMBER(SEARCH("SMOTEENN",A47)),ISNUMBER(SEARCH("SMOTETomek",A47))),  "Hybrid",  IF(   AND(    OR(ISNUMBER(SEARCH("SMOTE",A47)),ISNUMBER(SEARCH("SVMSMOTE",A47)),ISNUMBER(SEARCH("RandomOverSampler",A47)),ISNUMBER(SEARCH("BorderlineSmote",A47))),    OR(ISNUMBER(SEARCH("RandomUnderSampler",A47)),ISNUMBER(SEARCH("ClusterCentroids",A47)),ISNUMBER(SEARCH("OneSidedSelection",A47)))   ),   "Over+Under",   IF(    OR(ISNUMBER(SEARCH("SMOTE",A47)),ISNUMBER(SEARCH("SVMSMOTE",A47)),ISNUMBER(SEARCH("RandomOverSampler",A47)),ISNUMBER(SEARCH("BorderlineSmote",A47))),    "Oversampling",    IF(     OR(ISNUMBER(SEARCH("RandomUnderSampler",A47)),ISNUMBER(SEARCH("ClusterCentroids",A47)),ISNUMBER(SEARCH("OneSidedSelection",A47))),     "Undersampler",     "Czysty"    )   )  ) )</f>
        <v>Oversampling</v>
      </c>
      <c r="C47" s="1" t="s">
        <v>14</v>
      </c>
      <c r="D47" s="1" t="n">
        <v>0.7389</v>
      </c>
      <c r="E47" s="1" t="n">
        <v>0.7391</v>
      </c>
      <c r="F47" s="1" t="n">
        <v>0.7508</v>
      </c>
      <c r="G47" s="1" t="n">
        <v>0.7389</v>
      </c>
      <c r="I47" s="1"/>
      <c r="J47" s="1"/>
      <c r="K47" s="1"/>
      <c r="L47" s="1"/>
      <c r="M47" s="1"/>
      <c r="N47" s="1"/>
    </row>
    <row r="48" customFormat="false" ht="13.8" hidden="false" customHeight="false" outlineLevel="0" collapsed="false">
      <c r="A48" s="1" t="s">
        <v>88</v>
      </c>
      <c r="B48" s="1" t="str">
        <f aca="false">IF(  OR(ISNUMBER(SEARCH("SMOTEENN",A48)),ISNUMBER(SEARCH("SMOTETomek",A48))),  "Hybrid",  IF(   AND(    OR(ISNUMBER(SEARCH("SMOTE",A48)),ISNUMBER(SEARCH("SVMSMOTE",A48)),ISNUMBER(SEARCH("RandomOverSampler",A48)),ISNUMBER(SEARCH("BorderlineSmote",A48))),    OR(ISNUMBER(SEARCH("RandomUnderSampler",A48)),ISNUMBER(SEARCH("ClusterCentroids",A48)),ISNUMBER(SEARCH("OneSidedSelection",A48)))   ),   "Over+Under",   IF(    OR(ISNUMBER(SEARCH("SMOTE",A48)),ISNUMBER(SEARCH("SVMSMOTE",A48)),ISNUMBER(SEARCH("RandomOverSampler",A48)),ISNUMBER(SEARCH("BorderlineSmote",A48))),    "Oversampling",    IF(     OR(ISNUMBER(SEARCH("RandomUnderSampler",A48)),ISNUMBER(SEARCH("ClusterCentroids",A48)),ISNUMBER(SEARCH("OneSidedSelection",A48))),     "Undersampler",     "Czysty"    )   )  ) )</f>
        <v>Over+Under</v>
      </c>
      <c r="C48" s="1" t="s">
        <v>14</v>
      </c>
      <c r="D48" s="1" t="n">
        <v>0.663</v>
      </c>
      <c r="E48" s="1" t="n">
        <v>0.5475</v>
      </c>
      <c r="F48" s="1" t="n">
        <v>0.5108</v>
      </c>
      <c r="G48" s="1" t="n">
        <v>0.6522</v>
      </c>
      <c r="I48" s="1"/>
      <c r="J48" s="1"/>
      <c r="K48" s="1"/>
      <c r="L48" s="1"/>
      <c r="M48" s="1"/>
      <c r="N48" s="1"/>
    </row>
    <row r="49" customFormat="false" ht="13.8" hidden="false" customHeight="false" outlineLevel="0" collapsed="false">
      <c r="A49" s="1" t="s">
        <v>84</v>
      </c>
      <c r="B49" s="1" t="str">
        <f aca="false">IF(  OR(ISNUMBER(SEARCH("SMOTEENN",A49)),ISNUMBER(SEARCH("SMOTETomek",A49))),  "Hybrid",  IF(   AND(    OR(ISNUMBER(SEARCH("SMOTE",A49)),ISNUMBER(SEARCH("SVMSMOTE",A49)),ISNUMBER(SEARCH("RandomOverSampler",A49)),ISNUMBER(SEARCH("BorderlineSmote",A49))),    OR(ISNUMBER(SEARCH("RandomUnderSampler",A49)),ISNUMBER(SEARCH("ClusterCentroids",A49)),ISNUMBER(SEARCH("OneSidedSelection",A49)))   ),   "Over+Under",   IF(    OR(ISNUMBER(SEARCH("SMOTE",A49)),ISNUMBER(SEARCH("SVMSMOTE",A49)),ISNUMBER(SEARCH("RandomOverSampler",A49)),ISNUMBER(SEARCH("BorderlineSmote",A49))),    "Oversampling",    IF(     OR(ISNUMBER(SEARCH("RandomUnderSampler",A49)),ISNUMBER(SEARCH("ClusterCentroids",A49)),ISNUMBER(SEARCH("OneSidedSelection",A49))),     "Undersampler",     "Czysty"    )   )  ) )</f>
        <v>Over+Under</v>
      </c>
      <c r="C49" s="1" t="s">
        <v>14</v>
      </c>
      <c r="D49" s="1" t="n">
        <v>0.6556</v>
      </c>
      <c r="E49" s="1" t="n">
        <v>0.5327</v>
      </c>
      <c r="F49" s="1" t="n">
        <v>0.4814</v>
      </c>
      <c r="G49" s="1" t="n">
        <v>0.646</v>
      </c>
      <c r="I49" s="1"/>
      <c r="J49" s="1"/>
      <c r="K49" s="1"/>
      <c r="L49" s="1"/>
      <c r="M49" s="1"/>
      <c r="N49" s="1"/>
    </row>
    <row r="50" customFormat="false" ht="13.8" hidden="false" customHeight="false" outlineLevel="0" collapsed="false">
      <c r="A50" s="1" t="s">
        <v>87</v>
      </c>
      <c r="B50" s="1" t="str">
        <f aca="false">IF(  OR(ISNUMBER(SEARCH("SMOTEENN",A50)),ISNUMBER(SEARCH("SMOTETomek",A50))),  "Hybrid",  IF(   AND(    OR(ISNUMBER(SEARCH("SMOTE",A50)),ISNUMBER(SEARCH("SVMSMOTE",A50)),ISNUMBER(SEARCH("RandomOverSampler",A50)),ISNUMBER(SEARCH("BorderlineSmote",A50))),    OR(ISNUMBER(SEARCH("RandomUnderSampler",A50)),ISNUMBER(SEARCH("ClusterCentroids",A50)),ISNUMBER(SEARCH("OneSidedSelection",A50)))   ),   "Over+Under",   IF(    OR(ISNUMBER(SEARCH("SMOTE",A50)),ISNUMBER(SEARCH("SVMSMOTE",A50)),ISNUMBER(SEARCH("RandomOverSampler",A50)),ISNUMBER(SEARCH("BorderlineSmote",A50))),    "Oversampling",    IF(     OR(ISNUMBER(SEARCH("RandomUnderSampler",A50)),ISNUMBER(SEARCH("ClusterCentroids",A50)),ISNUMBER(SEARCH("OneSidedSelection",A50))),     "Undersampler",     "Czysty"    )   )  ) )</f>
        <v>Hybrid</v>
      </c>
      <c r="C50" s="1" t="s">
        <v>14</v>
      </c>
      <c r="D50" s="1" t="n">
        <v>0.5148</v>
      </c>
      <c r="E50" s="1" t="n">
        <v>0.4319</v>
      </c>
      <c r="F50" s="1" t="n">
        <v>0.4336</v>
      </c>
      <c r="G50" s="1" t="n">
        <v>0.5281</v>
      </c>
      <c r="I50" s="1"/>
      <c r="J50" s="1"/>
      <c r="K50" s="1"/>
      <c r="L50" s="1"/>
      <c r="M50" s="1"/>
      <c r="N50" s="1"/>
    </row>
    <row r="51" customFormat="false" ht="13.8" hidden="false" customHeight="false" outlineLevel="0" collapsed="false">
      <c r="A51" s="1" t="s">
        <v>126</v>
      </c>
      <c r="B51" s="1" t="str">
        <f aca="false">IF(  OR(ISNUMBER(SEARCH("SMOTEENN",A51)),ISNUMBER(SEARCH("SMOTETomek",A51))),  "Hybrid",  IF(   AND(    OR(ISNUMBER(SEARCH("SMOTE",A51)),ISNUMBER(SEARCH("SVMSMOTE",A51)),ISNUMBER(SEARCH("RandomOverSampler",A51)),ISNUMBER(SEARCH("BorderlineSmote",A51))),    OR(ISNUMBER(SEARCH("RandomUnderSampler",A51)),ISNUMBER(SEARCH("ClusterCentroids",A51)),ISNUMBER(SEARCH("OneSidedSelection",A51)))   ),   "Over+Under",   IF(    OR(ISNUMBER(SEARCH("SMOTE",A51)),ISNUMBER(SEARCH("SVMSMOTE",A51)),ISNUMBER(SEARCH("RandomOverSampler",A51)),ISNUMBER(SEARCH("BorderlineSmote",A51))),    "Oversampling",    IF(     OR(ISNUMBER(SEARCH("RandomUnderSampler",A51)),ISNUMBER(SEARCH("ClusterCentroids",A51)),ISNUMBER(SEARCH("OneSidedSelection",A51))),     "Undersampler",     "Czysty"    )   )  ) )</f>
        <v>Oversampling</v>
      </c>
      <c r="C51" s="1" t="s">
        <v>74</v>
      </c>
      <c r="D51" s="1" t="n">
        <v>0.7889</v>
      </c>
      <c r="E51" s="1" t="n">
        <v>0.7914</v>
      </c>
      <c r="F51" s="1" t="n">
        <v>0.7987</v>
      </c>
      <c r="G51" s="1" t="n">
        <v>0.7899</v>
      </c>
      <c r="I51" s="1"/>
      <c r="J51" s="1"/>
      <c r="K51" s="1"/>
      <c r="L51" s="1"/>
      <c r="M51" s="1"/>
      <c r="N51" s="1"/>
    </row>
    <row r="52" customFormat="false" ht="13.8" hidden="false" customHeight="false" outlineLevel="0" collapsed="false">
      <c r="A52" s="1" t="s">
        <v>124</v>
      </c>
      <c r="B52" s="1" t="str">
        <f aca="false">IF(  OR(ISNUMBER(SEARCH("SMOTEENN",A52)),ISNUMBER(SEARCH("SMOTETomek",A52))),  "Hybrid",  IF(   AND(    OR(ISNUMBER(SEARCH("SMOTE",A52)),ISNUMBER(SEARCH("SVMSMOTE",A52)),ISNUMBER(SEARCH("RandomOverSampler",A52)),ISNUMBER(SEARCH("BorderlineSmote",A52))),    OR(ISNUMBER(SEARCH("RandomUnderSampler",A52)),ISNUMBER(SEARCH("ClusterCentroids",A52)),ISNUMBER(SEARCH("OneSidedSelection",A52)))   ),   "Over+Under",   IF(    OR(ISNUMBER(SEARCH("SMOTE",A52)),ISNUMBER(SEARCH("SVMSMOTE",A52)),ISNUMBER(SEARCH("RandomOverSampler",A52)),ISNUMBER(SEARCH("BorderlineSmote",A52))),    "Oversampling",    IF(     OR(ISNUMBER(SEARCH("RandomUnderSampler",A52)),ISNUMBER(SEARCH("ClusterCentroids",A52)),ISNUMBER(SEARCH("OneSidedSelection",A52))),     "Undersampler",     "Czysty"    )   )  ) )</f>
        <v>Over+Under</v>
      </c>
      <c r="C52" s="1" t="s">
        <v>74</v>
      </c>
      <c r="D52" s="1" t="n">
        <v>0.7815</v>
      </c>
      <c r="E52" s="1" t="n">
        <v>0.7842</v>
      </c>
      <c r="F52" s="1" t="n">
        <v>0.7892</v>
      </c>
      <c r="G52" s="1" t="n">
        <v>0.7845</v>
      </c>
      <c r="I52" s="1"/>
      <c r="J52" s="1"/>
      <c r="K52" s="1"/>
      <c r="L52" s="1"/>
      <c r="M52" s="1"/>
      <c r="N52" s="1"/>
    </row>
    <row r="53" customFormat="false" ht="13.8" hidden="false" customHeight="false" outlineLevel="0" collapsed="false">
      <c r="A53" s="1" t="s">
        <v>123</v>
      </c>
      <c r="B53" s="1" t="str">
        <f aca="false">IF(  OR(ISNUMBER(SEARCH("SMOTEENN",A53)),ISNUMBER(SEARCH("SMOTETomek",A53))),  "Hybrid",  IF(   AND(    OR(ISNUMBER(SEARCH("SMOTE",A53)),ISNUMBER(SEARCH("SVMSMOTE",A53)),ISNUMBER(SEARCH("RandomOverSampler",A53)),ISNUMBER(SEARCH("BorderlineSmote",A53))),    OR(ISNUMBER(SEARCH("RandomUnderSampler",A53)),ISNUMBER(SEARCH("ClusterCentroids",A53)),ISNUMBER(SEARCH("OneSidedSelection",A53)))   ),   "Over+Under",   IF(    OR(ISNUMBER(SEARCH("SMOTE",A53)),ISNUMBER(SEARCH("SVMSMOTE",A53)),ISNUMBER(SEARCH("RandomOverSampler",A53)),ISNUMBER(SEARCH("BorderlineSmote",A53))),    "Oversampling",    IF(     OR(ISNUMBER(SEARCH("RandomUnderSampler",A53)),ISNUMBER(SEARCH("ClusterCentroids",A53)),ISNUMBER(SEARCH("OneSidedSelection",A53))),     "Undersampler",     "Czysty"    )   )  ) )</f>
        <v>Oversampling</v>
      </c>
      <c r="C53" s="1" t="s">
        <v>74</v>
      </c>
      <c r="D53" s="1" t="n">
        <v>0.7722</v>
      </c>
      <c r="E53" s="1" t="n">
        <v>0.7751</v>
      </c>
      <c r="F53" s="1" t="n">
        <v>0.78</v>
      </c>
      <c r="G53" s="1" t="n">
        <v>0.7737</v>
      </c>
      <c r="I53" s="1"/>
      <c r="J53" s="1"/>
      <c r="K53" s="1"/>
      <c r="L53" s="1"/>
      <c r="M53" s="1"/>
      <c r="N53" s="1"/>
    </row>
    <row r="54" customFormat="false" ht="13.8" hidden="false" customHeight="false" outlineLevel="0" collapsed="false">
      <c r="A54" s="1" t="s">
        <v>80</v>
      </c>
      <c r="B54" s="1" t="str">
        <f aca="false">IF(  OR(ISNUMBER(SEARCH("SMOTEENN",A54)),ISNUMBER(SEARCH("SMOTETomek",A54))),  "Hybrid",  IF(   AND(    OR(ISNUMBER(SEARCH("SMOTE",A54)),ISNUMBER(SEARCH("SVMSMOTE",A54)),ISNUMBER(SEARCH("RandomOverSampler",A54)),ISNUMBER(SEARCH("BorderlineSmote",A54))),    OR(ISNUMBER(SEARCH("RandomUnderSampler",A54)),ISNUMBER(SEARCH("ClusterCentroids",A54)),ISNUMBER(SEARCH("OneSidedSelection",A54)))   ),   "Over+Under",   IF(    OR(ISNUMBER(SEARCH("SMOTE",A54)),ISNUMBER(SEARCH("SVMSMOTE",A54)),ISNUMBER(SEARCH("RandomOverSampler",A54)),ISNUMBER(SEARCH("BorderlineSmote",A54))),    "Oversampling",    IF(     OR(ISNUMBER(SEARCH("RandomUnderSampler",A54)),ISNUMBER(SEARCH("ClusterCentroids",A54)),ISNUMBER(SEARCH("OneSidedSelection",A54))),     "Undersampler",     "Czysty"    )   )  ) )</f>
        <v>Hybrid</v>
      </c>
      <c r="C54" s="1" t="s">
        <v>74</v>
      </c>
      <c r="D54" s="1" t="n">
        <v>0.7685</v>
      </c>
      <c r="E54" s="1" t="n">
        <v>0.7684</v>
      </c>
      <c r="F54" s="1" t="n">
        <v>0.7693</v>
      </c>
      <c r="G54" s="1" t="n">
        <v>0.7711</v>
      </c>
      <c r="I54" s="1"/>
      <c r="J54" s="1"/>
      <c r="K54" s="1"/>
      <c r="L54" s="1"/>
      <c r="M54" s="1"/>
      <c r="N54" s="1"/>
    </row>
    <row r="55" customFormat="false" ht="13.8" hidden="false" customHeight="false" outlineLevel="0" collapsed="false">
      <c r="A55" s="1" t="s">
        <v>83</v>
      </c>
      <c r="B55" s="1" t="str">
        <f aca="false">IF(  OR(ISNUMBER(SEARCH("SMOTEENN",A55)),ISNUMBER(SEARCH("SMOTETomek",A55))),  "Hybrid",  IF(   AND(    OR(ISNUMBER(SEARCH("SMOTE",A55)),ISNUMBER(SEARCH("SVMSMOTE",A55)),ISNUMBER(SEARCH("RandomOverSampler",A55)),ISNUMBER(SEARCH("BorderlineSmote",A55))),    OR(ISNUMBER(SEARCH("RandomUnderSampler",A55)),ISNUMBER(SEARCH("ClusterCentroids",A55)),ISNUMBER(SEARCH("OneSidedSelection",A55)))   ),   "Over+Under",   IF(    OR(ISNUMBER(SEARCH("SMOTE",A55)),ISNUMBER(SEARCH("SVMSMOTE",A55)),ISNUMBER(SEARCH("RandomOverSampler",A55)),ISNUMBER(SEARCH("BorderlineSmote",A55))),    "Oversampling",    IF(     OR(ISNUMBER(SEARCH("RandomUnderSampler",A55)),ISNUMBER(SEARCH("ClusterCentroids",A55)),ISNUMBER(SEARCH("OneSidedSelection",A55))),     "Undersampler",     "Czysty"    )   )  ) )</f>
        <v>Over+Under</v>
      </c>
      <c r="C55" s="1" t="s">
        <v>74</v>
      </c>
      <c r="D55" s="1" t="n">
        <v>0.7667</v>
      </c>
      <c r="E55" s="1" t="n">
        <v>0.7651</v>
      </c>
      <c r="F55" s="1" t="n">
        <v>0.7677</v>
      </c>
      <c r="G55" s="1" t="n">
        <v>0.7692</v>
      </c>
      <c r="I55" s="1"/>
      <c r="J55" s="1"/>
      <c r="K55" s="1"/>
      <c r="L55" s="1"/>
      <c r="M55" s="1"/>
      <c r="N55" s="1"/>
    </row>
    <row r="56" customFormat="false" ht="13.8" hidden="false" customHeight="false" outlineLevel="0" collapsed="false">
      <c r="A56" s="1" t="s">
        <v>82</v>
      </c>
      <c r="B56" s="1" t="str">
        <f aca="false">IF(  OR(ISNUMBER(SEARCH("SMOTEENN",A56)),ISNUMBER(SEARCH("SMOTETomek",A56))),  "Hybrid",  IF(   AND(    OR(ISNUMBER(SEARCH("SMOTE",A56)),ISNUMBER(SEARCH("SVMSMOTE",A56)),ISNUMBER(SEARCH("RandomOverSampler",A56)),ISNUMBER(SEARCH("BorderlineSmote",A56))),    OR(ISNUMBER(SEARCH("RandomUnderSampler",A56)),ISNUMBER(SEARCH("ClusterCentroids",A56)),ISNUMBER(SEARCH("OneSidedSelection",A56)))   ),   "Over+Under",   IF(    OR(ISNUMBER(SEARCH("SMOTE",A56)),ISNUMBER(SEARCH("SVMSMOTE",A56)),ISNUMBER(SEARCH("RandomOverSampler",A56)),ISNUMBER(SEARCH("BorderlineSmote",A56))),    "Oversampling",    IF(     OR(ISNUMBER(SEARCH("RandomUnderSampler",A56)),ISNUMBER(SEARCH("ClusterCentroids",A56)),ISNUMBER(SEARCH("OneSidedSelection",A56))),     "Undersampler",     "Czysty"    )   )  ) )</f>
        <v>Over+Under</v>
      </c>
      <c r="C56" s="1" t="s">
        <v>74</v>
      </c>
      <c r="D56" s="1" t="n">
        <v>0.7519</v>
      </c>
      <c r="E56" s="1" t="n">
        <v>0.755</v>
      </c>
      <c r="F56" s="1" t="n">
        <v>0.7625</v>
      </c>
      <c r="G56" s="1" t="n">
        <v>0.7532</v>
      </c>
      <c r="I56" s="1"/>
      <c r="J56" s="1"/>
      <c r="K56" s="1"/>
      <c r="L56" s="1"/>
      <c r="M56" s="1"/>
      <c r="N56" s="1"/>
    </row>
    <row r="57" customFormat="false" ht="13.8" hidden="false" customHeight="false" outlineLevel="0" collapsed="false">
      <c r="A57" s="1" t="s">
        <v>79</v>
      </c>
      <c r="B57" s="1" t="str">
        <f aca="false">IF(  OR(ISNUMBER(SEARCH("SMOTEENN",A57)),ISNUMBER(SEARCH("SMOTETomek",A57))),  "Hybrid",  IF(   AND(    OR(ISNUMBER(SEARCH("SMOTE",A57)),ISNUMBER(SEARCH("SVMSMOTE",A57)),ISNUMBER(SEARCH("RandomOverSampler",A57)),ISNUMBER(SEARCH("BorderlineSmote",A57))),    OR(ISNUMBER(SEARCH("RandomUnderSampler",A57)),ISNUMBER(SEARCH("ClusterCentroids",A57)),ISNUMBER(SEARCH("OneSidedSelection",A57)))   ),   "Over+Under",   IF(    OR(ISNUMBER(SEARCH("SMOTE",A57)),ISNUMBER(SEARCH("SVMSMOTE",A57)),ISNUMBER(SEARCH("RandomOverSampler",A57)),ISNUMBER(SEARCH("BorderlineSmote",A57))),    "Oversampling",    IF(     OR(ISNUMBER(SEARCH("RandomUnderSampler",A57)),ISNUMBER(SEARCH("ClusterCentroids",A57)),ISNUMBER(SEARCH("OneSidedSelection",A57))),     "Undersampler",     "Czysty"    )   )  ) )</f>
        <v>Oversampling</v>
      </c>
      <c r="C57" s="1" t="s">
        <v>74</v>
      </c>
      <c r="D57" s="1" t="n">
        <v>0.7463</v>
      </c>
      <c r="E57" s="1" t="n">
        <v>0.7471</v>
      </c>
      <c r="F57" s="1" t="n">
        <v>0.7512</v>
      </c>
      <c r="G57" s="1" t="n">
        <v>0.7489</v>
      </c>
      <c r="I57" s="1"/>
      <c r="J57" s="1"/>
      <c r="K57" s="1"/>
      <c r="L57" s="1"/>
      <c r="M57" s="1"/>
      <c r="N57" s="1"/>
    </row>
    <row r="58" customFormat="false" ht="13.8" hidden="false" customHeight="false" outlineLevel="0" collapsed="false">
      <c r="A58" s="1" t="s">
        <v>125</v>
      </c>
      <c r="B58" s="1" t="str">
        <f aca="false">IF(  OR(ISNUMBER(SEARCH("SMOTEENN",A58)),ISNUMBER(SEARCH("SMOTETomek",A58))),  "Hybrid",  IF(   AND(    OR(ISNUMBER(SEARCH("SMOTE",A58)),ISNUMBER(SEARCH("SVMSMOTE",A58)),ISNUMBER(SEARCH("RandomOverSampler",A58)),ISNUMBER(SEARCH("BorderlineSmote",A58))),    OR(ISNUMBER(SEARCH("RandomUnderSampler",A58)),ISNUMBER(SEARCH("ClusterCentroids",A58)),ISNUMBER(SEARCH("OneSidedSelection",A58)))   ),   "Over+Under",   IF(    OR(ISNUMBER(SEARCH("SMOTE",A58)),ISNUMBER(SEARCH("SVMSMOTE",A58)),ISNUMBER(SEARCH("RandomOverSampler",A58)),ISNUMBER(SEARCH("BorderlineSmote",A58))),    "Oversampling",    IF(     OR(ISNUMBER(SEARCH("RandomUnderSampler",A58)),ISNUMBER(SEARCH("ClusterCentroids",A58)),ISNUMBER(SEARCH("OneSidedSelection",A58))),     "Undersampler",     "Czysty"    )   )  ) )</f>
        <v>Over+Under</v>
      </c>
      <c r="C58" s="1" t="s">
        <v>74</v>
      </c>
      <c r="D58" s="1" t="n">
        <v>0.7407</v>
      </c>
      <c r="E58" s="1" t="n">
        <v>0.744</v>
      </c>
      <c r="F58" s="1" t="n">
        <v>0.7503</v>
      </c>
      <c r="G58" s="1" t="n">
        <v>0.7435</v>
      </c>
      <c r="I58" s="1"/>
      <c r="J58" s="1"/>
      <c r="K58" s="1"/>
      <c r="L58" s="1"/>
      <c r="M58" s="1"/>
      <c r="N58" s="1"/>
    </row>
    <row r="59" customFormat="false" ht="13.8" hidden="false" customHeight="false" outlineLevel="0" collapsed="false">
      <c r="A59" s="1" t="s">
        <v>17</v>
      </c>
      <c r="B59" s="1" t="str">
        <f aca="false">IF(  OR(ISNUMBER(SEARCH("SMOTEENN",A59)),ISNUMBER(SEARCH("SMOTETomek",A59))),  "Hybrid",  IF(   AND(    OR(ISNUMBER(SEARCH("SMOTE",A59)),ISNUMBER(SEARCH("SVMSMOTE",A59)),ISNUMBER(SEARCH("RandomOverSampler",A59)),ISNUMBER(SEARCH("BorderlineSmote",A59))),    OR(ISNUMBER(SEARCH("RandomUnderSampler",A59)),ISNUMBER(SEARCH("ClusterCentroids",A59)),ISNUMBER(SEARCH("OneSidedSelection",A59)))   ),   "Over+Under",   IF(    OR(ISNUMBER(SEARCH("SMOTE",A59)),ISNUMBER(SEARCH("SVMSMOTE",A59)),ISNUMBER(SEARCH("RandomOverSampler",A59)),ISNUMBER(SEARCH("BorderlineSmote",A59))),    "Oversampling",    IF(     OR(ISNUMBER(SEARCH("RandomUnderSampler",A59)),ISNUMBER(SEARCH("ClusterCentroids",A59)),ISNUMBER(SEARCH("OneSidedSelection",A59))),     "Undersampler",     "Czysty"    )   )  ) )</f>
        <v>Czysty</v>
      </c>
      <c r="C59" s="1" t="s">
        <v>74</v>
      </c>
      <c r="D59" s="1" t="n">
        <v>0.7333</v>
      </c>
      <c r="E59" s="1" t="n">
        <v>0.7364</v>
      </c>
      <c r="F59" s="1" t="n">
        <v>0.7408</v>
      </c>
      <c r="G59" s="1" t="n">
        <v>0.7346</v>
      </c>
      <c r="I59" s="1"/>
      <c r="J59" s="1"/>
      <c r="K59" s="1"/>
      <c r="L59" s="1"/>
      <c r="M59" s="1"/>
      <c r="N59" s="1"/>
    </row>
    <row r="60" customFormat="false" ht="13.8" hidden="false" customHeight="false" outlineLevel="0" collapsed="false">
      <c r="A60" s="1" t="s">
        <v>86</v>
      </c>
      <c r="B60" s="1" t="str">
        <f aca="false">IF(  OR(ISNUMBER(SEARCH("SMOTEENN",A60)),ISNUMBER(SEARCH("SMOTETomek",A60))),  "Hybrid",  IF(   AND(    OR(ISNUMBER(SEARCH("SMOTE",A60)),ISNUMBER(SEARCH("SVMSMOTE",A60)),ISNUMBER(SEARCH("RandomOverSampler",A60)),ISNUMBER(SEARCH("BorderlineSmote",A60))),    OR(ISNUMBER(SEARCH("RandomUnderSampler",A60)),ISNUMBER(SEARCH("ClusterCentroids",A60)),ISNUMBER(SEARCH("OneSidedSelection",A60)))   ),   "Over+Under",   IF(    OR(ISNUMBER(SEARCH("SMOTE",A60)),ISNUMBER(SEARCH("SVMSMOTE",A60)),ISNUMBER(SEARCH("RandomOverSampler",A60)),ISNUMBER(SEARCH("BorderlineSmote",A60))),    "Oversampling",    IF(     OR(ISNUMBER(SEARCH("RandomUnderSampler",A60)),ISNUMBER(SEARCH("ClusterCentroids",A60)),ISNUMBER(SEARCH("OneSidedSelection",A60))),     "Undersampler",     "Czysty"    )   )  ) )</f>
        <v>Over+Under</v>
      </c>
      <c r="C60" s="1" t="s">
        <v>74</v>
      </c>
      <c r="D60" s="1" t="n">
        <v>0.7352</v>
      </c>
      <c r="E60" s="1" t="n">
        <v>0.7356</v>
      </c>
      <c r="F60" s="1" t="n">
        <v>0.7413</v>
      </c>
      <c r="G60" s="1" t="n">
        <v>0.7395</v>
      </c>
      <c r="I60" s="1"/>
      <c r="J60" s="1"/>
      <c r="K60" s="1"/>
      <c r="L60" s="1"/>
      <c r="M60" s="1"/>
      <c r="N60" s="1"/>
    </row>
    <row r="61" customFormat="false" ht="13.8" hidden="false" customHeight="false" outlineLevel="0" collapsed="false">
      <c r="A61" s="1" t="s">
        <v>85</v>
      </c>
      <c r="B61" s="1" t="str">
        <f aca="false">IF(  OR(ISNUMBER(SEARCH("SMOTEENN",A61)),ISNUMBER(SEARCH("SMOTETomek",A61))),  "Hybrid",  IF(   AND(    OR(ISNUMBER(SEARCH("SMOTE",A61)),ISNUMBER(SEARCH("SVMSMOTE",A61)),ISNUMBER(SEARCH("RandomOverSampler",A61)),ISNUMBER(SEARCH("BorderlineSmote",A61))),    OR(ISNUMBER(SEARCH("RandomUnderSampler",A61)),ISNUMBER(SEARCH("ClusterCentroids",A61)),ISNUMBER(SEARCH("OneSidedSelection",A61)))   ),   "Over+Under",   IF(    OR(ISNUMBER(SEARCH("SMOTE",A61)),ISNUMBER(SEARCH("SVMSMOTE",A61)),ISNUMBER(SEARCH("RandomOverSampler",A61)),ISNUMBER(SEARCH("BorderlineSmote",A61))),    "Oversampling",    IF(     OR(ISNUMBER(SEARCH("RandomUnderSampler",A61)),ISNUMBER(SEARCH("ClusterCentroids",A61)),ISNUMBER(SEARCH("OneSidedSelection",A61))),     "Undersampler",     "Czysty"    )   )  ) )</f>
        <v>Over+Under</v>
      </c>
      <c r="C61" s="1" t="s">
        <v>74</v>
      </c>
      <c r="D61" s="1" t="n">
        <v>0.7296</v>
      </c>
      <c r="E61" s="1" t="n">
        <v>0.7306</v>
      </c>
      <c r="F61" s="1" t="n">
        <v>0.7395</v>
      </c>
      <c r="G61" s="1" t="n">
        <v>0.7309</v>
      </c>
      <c r="I61" s="1"/>
      <c r="J61" s="1"/>
      <c r="K61" s="1"/>
      <c r="L61" s="1"/>
      <c r="M61" s="1"/>
      <c r="N61" s="1"/>
    </row>
    <row r="62" customFormat="false" ht="13.8" hidden="false" customHeight="false" outlineLevel="0" collapsed="false">
      <c r="A62" s="1" t="s">
        <v>81</v>
      </c>
      <c r="B62" s="1" t="str">
        <f aca="false">IF(  OR(ISNUMBER(SEARCH("SMOTEENN",A62)),ISNUMBER(SEARCH("SMOTETomek",A62))),  "Hybrid",  IF(   AND(    OR(ISNUMBER(SEARCH("SMOTE",A62)),ISNUMBER(SEARCH("SVMSMOTE",A62)),ISNUMBER(SEARCH("RandomOverSampler",A62)),ISNUMBER(SEARCH("BorderlineSmote",A62))),    OR(ISNUMBER(SEARCH("RandomUnderSampler",A62)),ISNUMBER(SEARCH("ClusterCentroids",A62)),ISNUMBER(SEARCH("OneSidedSelection",A62)))   ),   "Over+Under",   IF(    OR(ISNUMBER(SEARCH("SMOTE",A62)),ISNUMBER(SEARCH("SVMSMOTE",A62)),ISNUMBER(SEARCH("RandomOverSampler",A62)),ISNUMBER(SEARCH("BorderlineSmote",A62))),    "Oversampling",    IF(     OR(ISNUMBER(SEARCH("RandomUnderSampler",A62)),ISNUMBER(SEARCH("ClusterCentroids",A62)),ISNUMBER(SEARCH("OneSidedSelection",A62))),     "Undersampler",     "Czysty"    )   )  ) )</f>
        <v>Oversampling</v>
      </c>
      <c r="C62" s="1" t="s">
        <v>74</v>
      </c>
      <c r="D62" s="1" t="n">
        <v>0.7278</v>
      </c>
      <c r="E62" s="1" t="n">
        <v>0.7297</v>
      </c>
      <c r="F62" s="1" t="n">
        <v>0.7372</v>
      </c>
      <c r="G62" s="1" t="n">
        <v>0.7286</v>
      </c>
      <c r="I62" s="1"/>
      <c r="J62" s="1"/>
      <c r="K62" s="1"/>
      <c r="L62" s="1"/>
      <c r="M62" s="1"/>
      <c r="N62" s="1"/>
    </row>
    <row r="63" customFormat="false" ht="13.8" hidden="false" customHeight="false" outlineLevel="0" collapsed="false">
      <c r="A63" s="1" t="s">
        <v>88</v>
      </c>
      <c r="B63" s="1" t="str">
        <f aca="false">IF(  OR(ISNUMBER(SEARCH("SMOTEENN",A63)),ISNUMBER(SEARCH("SMOTETomek",A63))),  "Hybrid",  IF(   AND(    OR(ISNUMBER(SEARCH("SMOTE",A63)),ISNUMBER(SEARCH("SVMSMOTE",A63)),ISNUMBER(SEARCH("RandomOverSampler",A63)),ISNUMBER(SEARCH("BorderlineSmote",A63))),    OR(ISNUMBER(SEARCH("RandomUnderSampler",A63)),ISNUMBER(SEARCH("ClusterCentroids",A63)),ISNUMBER(SEARCH("OneSidedSelection",A63)))   ),   "Over+Under",   IF(    OR(ISNUMBER(SEARCH("SMOTE",A63)),ISNUMBER(SEARCH("SVMSMOTE",A63)),ISNUMBER(SEARCH("RandomOverSampler",A63)),ISNUMBER(SEARCH("BorderlineSmote",A63))),    "Oversampling",    IF(     OR(ISNUMBER(SEARCH("RandomUnderSampler",A63)),ISNUMBER(SEARCH("ClusterCentroids",A63)),ISNUMBER(SEARCH("OneSidedSelection",A63))),     "Undersampler",     "Czysty"    )   )  ) )</f>
        <v>Over+Under</v>
      </c>
      <c r="C63" s="1" t="s">
        <v>74</v>
      </c>
      <c r="D63" s="1" t="n">
        <v>0.6722</v>
      </c>
      <c r="E63" s="1" t="n">
        <v>0.5671</v>
      </c>
      <c r="F63" s="1" t="n">
        <v>0.563</v>
      </c>
      <c r="G63" s="1" t="n">
        <v>0.6618</v>
      </c>
      <c r="I63" s="1"/>
      <c r="J63" s="1"/>
      <c r="K63" s="1"/>
      <c r="L63" s="1"/>
      <c r="M63" s="1"/>
      <c r="N63" s="1"/>
    </row>
    <row r="64" customFormat="false" ht="13.8" hidden="false" customHeight="false" outlineLevel="0" collapsed="false">
      <c r="A64" s="1" t="s">
        <v>84</v>
      </c>
      <c r="B64" s="1" t="str">
        <f aca="false">IF(  OR(ISNUMBER(SEARCH("SMOTEENN",A64)),ISNUMBER(SEARCH("SMOTETomek",A64))),  "Hybrid",  IF(   AND(    OR(ISNUMBER(SEARCH("SMOTE",A64)),ISNUMBER(SEARCH("SVMSMOTE",A64)),ISNUMBER(SEARCH("RandomOverSampler",A64)),ISNUMBER(SEARCH("BorderlineSmote",A64))),    OR(ISNUMBER(SEARCH("RandomUnderSampler",A64)),ISNUMBER(SEARCH("ClusterCentroids",A64)),ISNUMBER(SEARCH("OneSidedSelection",A64)))   ),   "Over+Under",   IF(    OR(ISNUMBER(SEARCH("SMOTE",A64)),ISNUMBER(SEARCH("SVMSMOTE",A64)),ISNUMBER(SEARCH("RandomOverSampler",A64)),ISNUMBER(SEARCH("BorderlineSmote",A64))),    "Oversampling",    IF(     OR(ISNUMBER(SEARCH("RandomUnderSampler",A64)),ISNUMBER(SEARCH("ClusterCentroids",A64)),ISNUMBER(SEARCH("OneSidedSelection",A64))),     "Undersampler",     "Czysty"    )   )  ) )</f>
        <v>Over+Under</v>
      </c>
      <c r="C64" s="1" t="s">
        <v>74</v>
      </c>
      <c r="D64" s="1" t="n">
        <v>0.6574</v>
      </c>
      <c r="E64" s="1" t="n">
        <v>0.5338</v>
      </c>
      <c r="F64" s="1" t="n">
        <v>0.4611</v>
      </c>
      <c r="G64" s="1" t="n">
        <v>0.6476</v>
      </c>
      <c r="I64" s="1"/>
      <c r="J64" s="1"/>
      <c r="K64" s="1"/>
      <c r="L64" s="1"/>
      <c r="M64" s="1"/>
      <c r="N64" s="1"/>
    </row>
    <row r="65" customFormat="false" ht="13.8" hidden="false" customHeight="false" outlineLevel="0" collapsed="false">
      <c r="A65" s="1" t="s">
        <v>87</v>
      </c>
      <c r="B65" s="1" t="str">
        <f aca="false">IF(  OR(ISNUMBER(SEARCH("SMOTEENN",A65)),ISNUMBER(SEARCH("SMOTETomek",A65))),  "Hybrid",  IF(   AND(    OR(ISNUMBER(SEARCH("SMOTE",A65)),ISNUMBER(SEARCH("SVMSMOTE",A65)),ISNUMBER(SEARCH("RandomOverSampler",A65)),ISNUMBER(SEARCH("BorderlineSmote",A65))),    OR(ISNUMBER(SEARCH("RandomUnderSampler",A65)),ISNUMBER(SEARCH("ClusterCentroids",A65)),ISNUMBER(SEARCH("OneSidedSelection",A65)))   ),   "Over+Under",   IF(    OR(ISNUMBER(SEARCH("SMOTE",A65)),ISNUMBER(SEARCH("SVMSMOTE",A65)),ISNUMBER(SEARCH("RandomOverSampler",A65)),ISNUMBER(SEARCH("BorderlineSmote",A65))),    "Oversampling",    IF(     OR(ISNUMBER(SEARCH("RandomUnderSampler",A65)),ISNUMBER(SEARCH("ClusterCentroids",A65)),ISNUMBER(SEARCH("OneSidedSelection",A65))),     "Undersampler",     "Czysty"    )   )  ) )</f>
        <v>Hybrid</v>
      </c>
      <c r="C65" s="1" t="s">
        <v>74</v>
      </c>
      <c r="D65" s="1" t="n">
        <v>0.5296</v>
      </c>
      <c r="E65" s="1" t="n">
        <v>0.447</v>
      </c>
      <c r="F65" s="1" t="n">
        <v>0.464</v>
      </c>
      <c r="G65" s="1" t="n">
        <v>0.5432</v>
      </c>
      <c r="I65" s="1"/>
      <c r="J65" s="1"/>
      <c r="K65" s="1"/>
      <c r="L65" s="1"/>
      <c r="M65" s="1"/>
      <c r="N65" s="1"/>
    </row>
    <row r="67" customFormat="false" ht="13.8" hidden="false" customHeight="false" outlineLevel="0" collapsed="false">
      <c r="A67" s="2" t="s">
        <v>23</v>
      </c>
      <c r="B67" s="2"/>
      <c r="C67" s="2"/>
      <c r="D67" s="2"/>
      <c r="E67" s="2"/>
      <c r="F67" s="2"/>
      <c r="G67" s="2"/>
    </row>
    <row r="68" customFormat="false" ht="13.8" hidden="false" customHeight="false" outlineLevel="0" collapsed="false">
      <c r="A68" s="4" t="s">
        <v>2</v>
      </c>
      <c r="B68" s="4" t="s">
        <v>4</v>
      </c>
      <c r="C68" s="4" t="s">
        <v>5</v>
      </c>
      <c r="D68" s="4" t="s">
        <v>6</v>
      </c>
      <c r="E68" s="4" t="s">
        <v>127</v>
      </c>
      <c r="F68" s="4" t="s">
        <v>9</v>
      </c>
      <c r="G68" s="4" t="s">
        <v>10</v>
      </c>
    </row>
    <row r="69" customFormat="false" ht="13.8" hidden="false" customHeight="false" outlineLevel="0" collapsed="false">
      <c r="A69" s="1" t="s">
        <v>85</v>
      </c>
      <c r="B69" s="1" t="str">
        <f aca="false">IF(  OR(ISNUMBER(SEARCH("SMOTEENN",A69)),ISNUMBER(SEARCH("SMOTETomek",A69))),  "Hybrid",  IF(   AND(    OR(ISNUMBER(SEARCH("SMOTE",A69)),ISNUMBER(SEARCH("SVMSMOTE",A69)),ISNUMBER(SEARCH("RandomOverSampler",A69)),ISNUMBER(SEARCH("BorderlineSmote",A69))),    OR(ISNUMBER(SEARCH("RandomUnderSampler",A69)),ISNUMBER(SEARCH("ClusterCentroids",A69)),ISNUMBER(SEARCH("OneSidedSelection",A69)))   ),   "Over+Under",   IF(    OR(ISNUMBER(SEARCH("SMOTE",A69)),ISNUMBER(SEARCH("SVMSMOTE",A69)),ISNUMBER(SEARCH("RandomOverSampler",A69)),ISNUMBER(SEARCH("BorderlineSmote",A69))),    "Oversampling",    IF(     OR(ISNUMBER(SEARCH("RandomUnderSampler",A69)),ISNUMBER(SEARCH("ClusterCentroids",A69)),ISNUMBER(SEARCH("OneSidedSelection",A69))),     "Undersampler",     "Czysty"    )   )  ) )</f>
        <v>Over+Under</v>
      </c>
      <c r="C69" s="1" t="s">
        <v>14</v>
      </c>
      <c r="D69" s="1" t="n">
        <v>0.7389</v>
      </c>
      <c r="E69" s="1" t="n">
        <v>0.7428</v>
      </c>
      <c r="F69" s="1" t="n">
        <v>0.7463</v>
      </c>
      <c r="G69" s="1" t="n">
        <v>0.7419</v>
      </c>
      <c r="I69" s="1"/>
      <c r="J69" s="1"/>
      <c r="K69" s="1"/>
      <c r="L69" s="1"/>
      <c r="M69" s="1"/>
      <c r="N69" s="1"/>
    </row>
    <row r="70" customFormat="false" ht="13.8" hidden="false" customHeight="false" outlineLevel="0" collapsed="false">
      <c r="A70" s="1" t="s">
        <v>80</v>
      </c>
      <c r="B70" s="1" t="str">
        <f aca="false">IF(  OR(ISNUMBER(SEARCH("SMOTEENN",A70)),ISNUMBER(SEARCH("SMOTETomek",A70))),  "Hybrid",  IF(   AND(    OR(ISNUMBER(SEARCH("SMOTE",A70)),ISNUMBER(SEARCH("SVMSMOTE",A70)),ISNUMBER(SEARCH("RandomOverSampler",A70)),ISNUMBER(SEARCH("BorderlineSmote",A70))),    OR(ISNUMBER(SEARCH("RandomUnderSampler",A70)),ISNUMBER(SEARCH("ClusterCentroids",A70)),ISNUMBER(SEARCH("OneSidedSelection",A70)))   ),   "Over+Under",   IF(    OR(ISNUMBER(SEARCH("SMOTE",A70)),ISNUMBER(SEARCH("SVMSMOTE",A70)),ISNUMBER(SEARCH("RandomOverSampler",A70)),ISNUMBER(SEARCH("BorderlineSmote",A70))),    "Oversampling",    IF(     OR(ISNUMBER(SEARCH("RandomUnderSampler",A70)),ISNUMBER(SEARCH("ClusterCentroids",A70)),ISNUMBER(SEARCH("OneSidedSelection",A70))),     "Undersampler",     "Czysty"    )   )  ) )</f>
        <v>Hybrid</v>
      </c>
      <c r="C70" s="1" t="s">
        <v>14</v>
      </c>
      <c r="D70" s="1" t="n">
        <v>0.7407</v>
      </c>
      <c r="E70" s="1" t="n">
        <v>0.7403</v>
      </c>
      <c r="F70" s="1" t="n">
        <v>0.7457</v>
      </c>
      <c r="G70" s="1" t="n">
        <v>0.7449</v>
      </c>
      <c r="I70" s="1"/>
      <c r="J70" s="1"/>
      <c r="K70" s="1"/>
      <c r="L70" s="1"/>
      <c r="M70" s="1"/>
      <c r="N70" s="1"/>
    </row>
    <row r="71" customFormat="false" ht="13.8" hidden="false" customHeight="false" outlineLevel="0" collapsed="false">
      <c r="A71" s="1" t="s">
        <v>125</v>
      </c>
      <c r="B71" s="1" t="str">
        <f aca="false">IF(  OR(ISNUMBER(SEARCH("SMOTEENN",A71)),ISNUMBER(SEARCH("SMOTETomek",A71))),  "Hybrid",  IF(   AND(    OR(ISNUMBER(SEARCH("SMOTE",A71)),ISNUMBER(SEARCH("SVMSMOTE",A71)),ISNUMBER(SEARCH("RandomOverSampler",A71)),ISNUMBER(SEARCH("BorderlineSmote",A71))),    OR(ISNUMBER(SEARCH("RandomUnderSampler",A71)),ISNUMBER(SEARCH("ClusterCentroids",A71)),ISNUMBER(SEARCH("OneSidedSelection",A71)))   ),   "Over+Under",   IF(    OR(ISNUMBER(SEARCH("SMOTE",A71)),ISNUMBER(SEARCH("SVMSMOTE",A71)),ISNUMBER(SEARCH("RandomOverSampler",A71)),ISNUMBER(SEARCH("BorderlineSmote",A71))),    "Oversampling",    IF(     OR(ISNUMBER(SEARCH("RandomUnderSampler",A71)),ISNUMBER(SEARCH("ClusterCentroids",A71)),ISNUMBER(SEARCH("OneSidedSelection",A71))),     "Undersampler",     "Czysty"    )   )  ) )</f>
        <v>Over+Under</v>
      </c>
      <c r="C71" s="1" t="s">
        <v>14</v>
      </c>
      <c r="D71" s="1" t="n">
        <v>0.7333</v>
      </c>
      <c r="E71" s="1" t="n">
        <v>0.733</v>
      </c>
      <c r="F71" s="1" t="n">
        <v>0.736</v>
      </c>
      <c r="G71" s="1" t="n">
        <v>0.7364</v>
      </c>
      <c r="I71" s="1"/>
      <c r="J71" s="1"/>
      <c r="K71" s="1"/>
      <c r="L71" s="1"/>
      <c r="M71" s="1"/>
      <c r="N71" s="1"/>
    </row>
    <row r="72" customFormat="false" ht="13.8" hidden="false" customHeight="false" outlineLevel="0" collapsed="false">
      <c r="A72" s="1" t="s">
        <v>83</v>
      </c>
      <c r="B72" s="1" t="str">
        <f aca="false">IF(  OR(ISNUMBER(SEARCH("SMOTEENN",A72)),ISNUMBER(SEARCH("SMOTETomek",A72))),  "Hybrid",  IF(   AND(    OR(ISNUMBER(SEARCH("SMOTE",A72)),ISNUMBER(SEARCH("SVMSMOTE",A72)),ISNUMBER(SEARCH("RandomOverSampler",A72)),ISNUMBER(SEARCH("BorderlineSmote",A72))),    OR(ISNUMBER(SEARCH("RandomUnderSampler",A72)),ISNUMBER(SEARCH("ClusterCentroids",A72)),ISNUMBER(SEARCH("OneSidedSelection",A72)))   ),   "Over+Under",   IF(    OR(ISNUMBER(SEARCH("SMOTE",A72)),ISNUMBER(SEARCH("SVMSMOTE",A72)),ISNUMBER(SEARCH("RandomOverSampler",A72)),ISNUMBER(SEARCH("BorderlineSmote",A72))),    "Oversampling",    IF(     OR(ISNUMBER(SEARCH("RandomUnderSampler",A72)),ISNUMBER(SEARCH("ClusterCentroids",A72)),ISNUMBER(SEARCH("OneSidedSelection",A72))),     "Undersampler",     "Czysty"    )   )  ) )</f>
        <v>Over+Under</v>
      </c>
      <c r="C72" s="1" t="s">
        <v>14</v>
      </c>
      <c r="D72" s="1" t="n">
        <v>0.7222</v>
      </c>
      <c r="E72" s="1" t="n">
        <v>0.7237</v>
      </c>
      <c r="F72" s="1" t="n">
        <v>0.737</v>
      </c>
      <c r="G72" s="1" t="n">
        <v>0.7259</v>
      </c>
      <c r="I72" s="1"/>
      <c r="J72" s="1"/>
      <c r="K72" s="1"/>
      <c r="L72" s="1"/>
      <c r="M72" s="1"/>
      <c r="N72" s="1"/>
    </row>
    <row r="73" customFormat="false" ht="13.8" hidden="false" customHeight="false" outlineLevel="0" collapsed="false">
      <c r="A73" s="1" t="s">
        <v>81</v>
      </c>
      <c r="B73" s="1" t="str">
        <f aca="false">IF(  OR(ISNUMBER(SEARCH("SMOTEENN",A73)),ISNUMBER(SEARCH("SMOTETomek",A73))),  "Hybrid",  IF(   AND(    OR(ISNUMBER(SEARCH("SMOTE",A73)),ISNUMBER(SEARCH("SVMSMOTE",A73)),ISNUMBER(SEARCH("RandomOverSampler",A73)),ISNUMBER(SEARCH("BorderlineSmote",A73))),    OR(ISNUMBER(SEARCH("RandomUnderSampler",A73)),ISNUMBER(SEARCH("ClusterCentroids",A73)),ISNUMBER(SEARCH("OneSidedSelection",A73)))   ),   "Over+Under",   IF(    OR(ISNUMBER(SEARCH("SMOTE",A73)),ISNUMBER(SEARCH("SVMSMOTE",A73)),ISNUMBER(SEARCH("RandomOverSampler",A73)),ISNUMBER(SEARCH("BorderlineSmote",A73))),    "Oversampling",    IF(     OR(ISNUMBER(SEARCH("RandomUnderSampler",A73)),ISNUMBER(SEARCH("ClusterCentroids",A73)),ISNUMBER(SEARCH("OneSidedSelection",A73))),     "Undersampler",     "Czysty"    )   )  ) )</f>
        <v>Oversampling</v>
      </c>
      <c r="C73" s="1" t="s">
        <v>14</v>
      </c>
      <c r="D73" s="1" t="n">
        <v>0.7167</v>
      </c>
      <c r="E73" s="1" t="n">
        <v>0.7198</v>
      </c>
      <c r="F73" s="1" t="n">
        <v>0.7234</v>
      </c>
      <c r="G73" s="1" t="n">
        <v>0.7204</v>
      </c>
      <c r="I73" s="1"/>
      <c r="J73" s="1"/>
      <c r="K73" s="1"/>
      <c r="L73" s="1"/>
      <c r="M73" s="1"/>
      <c r="N73" s="1"/>
    </row>
    <row r="74" customFormat="false" ht="13.8" hidden="false" customHeight="false" outlineLevel="0" collapsed="false">
      <c r="A74" s="1" t="s">
        <v>82</v>
      </c>
      <c r="B74" s="1" t="str">
        <f aca="false">IF(  OR(ISNUMBER(SEARCH("SMOTEENN",A74)),ISNUMBER(SEARCH("SMOTETomek",A74))),  "Hybrid",  IF(   AND(    OR(ISNUMBER(SEARCH("SMOTE",A74)),ISNUMBER(SEARCH("SVMSMOTE",A74)),ISNUMBER(SEARCH("RandomOverSampler",A74)),ISNUMBER(SEARCH("BorderlineSmote",A74))),    OR(ISNUMBER(SEARCH("RandomUnderSampler",A74)),ISNUMBER(SEARCH("ClusterCentroids",A74)),ISNUMBER(SEARCH("OneSidedSelection",A74)))   ),   "Over+Under",   IF(    OR(ISNUMBER(SEARCH("SMOTE",A74)),ISNUMBER(SEARCH("SVMSMOTE",A74)),ISNUMBER(SEARCH("RandomOverSampler",A74)),ISNUMBER(SEARCH("BorderlineSmote",A74))),    "Oversampling",    IF(     OR(ISNUMBER(SEARCH("RandomUnderSampler",A74)),ISNUMBER(SEARCH("ClusterCentroids",A74)),ISNUMBER(SEARCH("OneSidedSelection",A74))),     "Undersampler",     "Czysty"    )   )  ) )</f>
        <v>Over+Under</v>
      </c>
      <c r="C74" s="1" t="s">
        <v>14</v>
      </c>
      <c r="D74" s="1" t="n">
        <v>0.7019</v>
      </c>
      <c r="E74" s="1" t="n">
        <v>0.7032</v>
      </c>
      <c r="F74" s="1" t="n">
        <v>0.7071</v>
      </c>
      <c r="G74" s="1" t="n">
        <v>0.7059</v>
      </c>
      <c r="I74" s="1"/>
      <c r="J74" s="1"/>
      <c r="K74" s="1"/>
      <c r="L74" s="1"/>
      <c r="M74" s="1"/>
      <c r="N74" s="1"/>
    </row>
    <row r="75" customFormat="false" ht="13.8" hidden="false" customHeight="false" outlineLevel="0" collapsed="false">
      <c r="A75" s="1" t="s">
        <v>124</v>
      </c>
      <c r="B75" s="1" t="str">
        <f aca="false">IF(  OR(ISNUMBER(SEARCH("SMOTEENN",A75)),ISNUMBER(SEARCH("SMOTETomek",A75))),  "Hybrid",  IF(   AND(    OR(ISNUMBER(SEARCH("SMOTE",A75)),ISNUMBER(SEARCH("SVMSMOTE",A75)),ISNUMBER(SEARCH("RandomOverSampler",A75)),ISNUMBER(SEARCH("BorderlineSmote",A75))),    OR(ISNUMBER(SEARCH("RandomUnderSampler",A75)),ISNUMBER(SEARCH("ClusterCentroids",A75)),ISNUMBER(SEARCH("OneSidedSelection",A75)))   ),   "Over+Under",   IF(    OR(ISNUMBER(SEARCH("SMOTE",A75)),ISNUMBER(SEARCH("SVMSMOTE",A75)),ISNUMBER(SEARCH("RandomOverSampler",A75)),ISNUMBER(SEARCH("BorderlineSmote",A75))),    "Oversampling",    IF(     OR(ISNUMBER(SEARCH("RandomUnderSampler",A75)),ISNUMBER(SEARCH("ClusterCentroids",A75)),ISNUMBER(SEARCH("OneSidedSelection",A75))),     "Undersampler",     "Czysty"    )   )  ) )</f>
        <v>Over+Under</v>
      </c>
      <c r="C75" s="1" t="s">
        <v>14</v>
      </c>
      <c r="D75" s="1" t="n">
        <v>0.7</v>
      </c>
      <c r="E75" s="1" t="n">
        <v>0.7015</v>
      </c>
      <c r="F75" s="1" t="n">
        <v>0.7059</v>
      </c>
      <c r="G75" s="1" t="n">
        <v>0.702</v>
      </c>
      <c r="I75" s="1"/>
      <c r="J75" s="1"/>
      <c r="K75" s="1"/>
      <c r="L75" s="1"/>
      <c r="M75" s="1"/>
      <c r="N75" s="1"/>
    </row>
    <row r="76" customFormat="false" ht="13.8" hidden="false" customHeight="false" outlineLevel="0" collapsed="false">
      <c r="A76" s="1" t="s">
        <v>79</v>
      </c>
      <c r="B76" s="1" t="str">
        <f aca="false">IF(  OR(ISNUMBER(SEARCH("SMOTEENN",A76)),ISNUMBER(SEARCH("SMOTETomek",A76))),  "Hybrid",  IF(   AND(    OR(ISNUMBER(SEARCH("SMOTE",A76)),ISNUMBER(SEARCH("SVMSMOTE",A76)),ISNUMBER(SEARCH("RandomOverSampler",A76)),ISNUMBER(SEARCH("BorderlineSmote",A76))),    OR(ISNUMBER(SEARCH("RandomUnderSampler",A76)),ISNUMBER(SEARCH("ClusterCentroids",A76)),ISNUMBER(SEARCH("OneSidedSelection",A76)))   ),   "Over+Under",   IF(    OR(ISNUMBER(SEARCH("SMOTE",A76)),ISNUMBER(SEARCH("SVMSMOTE",A76)),ISNUMBER(SEARCH("RandomOverSampler",A76)),ISNUMBER(SEARCH("BorderlineSmote",A76))),    "Oversampling",    IF(     OR(ISNUMBER(SEARCH("RandomUnderSampler",A76)),ISNUMBER(SEARCH("ClusterCentroids",A76)),ISNUMBER(SEARCH("OneSidedSelection",A76))),     "Undersampler",     "Czysty"    )   )  ) )</f>
        <v>Oversampling</v>
      </c>
      <c r="C76" s="1" t="s">
        <v>14</v>
      </c>
      <c r="D76" s="1" t="n">
        <v>0.6926</v>
      </c>
      <c r="E76" s="1" t="n">
        <v>0.6964</v>
      </c>
      <c r="F76" s="1" t="n">
        <v>0.698</v>
      </c>
      <c r="G76" s="1" t="n">
        <v>0.6965</v>
      </c>
      <c r="I76" s="1"/>
      <c r="J76" s="1"/>
      <c r="K76" s="1"/>
      <c r="L76" s="1"/>
      <c r="M76" s="1"/>
      <c r="N76" s="1"/>
    </row>
    <row r="77" customFormat="false" ht="13.8" hidden="false" customHeight="false" outlineLevel="0" collapsed="false">
      <c r="A77" s="1" t="s">
        <v>23</v>
      </c>
      <c r="B77" s="1" t="str">
        <f aca="false">IF(  OR(ISNUMBER(SEARCH("SMOTEENN",A77)),ISNUMBER(SEARCH("SMOTETomek",A77))),  "Hybrid",  IF(   AND(    OR(ISNUMBER(SEARCH("SMOTE",A77)),ISNUMBER(SEARCH("SVMSMOTE",A77)),ISNUMBER(SEARCH("RandomOverSampler",A77)),ISNUMBER(SEARCH("BorderlineSmote",A77))),    OR(ISNUMBER(SEARCH("RandomUnderSampler",A77)),ISNUMBER(SEARCH("ClusterCentroids",A77)),ISNUMBER(SEARCH("OneSidedSelection",A77)))   ),   "Over+Under",   IF(    OR(ISNUMBER(SEARCH("SMOTE",A77)),ISNUMBER(SEARCH("SVMSMOTE",A77)),ISNUMBER(SEARCH("RandomOverSampler",A77)),ISNUMBER(SEARCH("BorderlineSmote",A77))),    "Oversampling",    IF(     OR(ISNUMBER(SEARCH("RandomUnderSampler",A77)),ISNUMBER(SEARCH("ClusterCentroids",A77)),ISNUMBER(SEARCH("OneSidedSelection",A77))),     "Undersampler",     "Czysty"    )   )  ) )</f>
        <v>Czysty</v>
      </c>
      <c r="C77" s="1" t="s">
        <v>14</v>
      </c>
      <c r="D77" s="1" t="n">
        <v>0.6981</v>
      </c>
      <c r="E77" s="1" t="n">
        <v>0.6963</v>
      </c>
      <c r="F77" s="1" t="n">
        <v>0.7051</v>
      </c>
      <c r="G77" s="1" t="n">
        <v>0.701</v>
      </c>
      <c r="I77" s="1"/>
      <c r="J77" s="1"/>
      <c r="K77" s="1"/>
      <c r="L77" s="1"/>
      <c r="M77" s="1"/>
      <c r="N77" s="1"/>
    </row>
    <row r="78" customFormat="false" ht="13.8" hidden="false" customHeight="false" outlineLevel="0" collapsed="false">
      <c r="A78" s="1" t="s">
        <v>123</v>
      </c>
      <c r="B78" s="1" t="str">
        <f aca="false">IF(  OR(ISNUMBER(SEARCH("SMOTEENN",A78)),ISNUMBER(SEARCH("SMOTETomek",A78))),  "Hybrid",  IF(   AND(    OR(ISNUMBER(SEARCH("SMOTE",A78)),ISNUMBER(SEARCH("SVMSMOTE",A78)),ISNUMBER(SEARCH("RandomOverSampler",A78)),ISNUMBER(SEARCH("BorderlineSmote",A78))),    OR(ISNUMBER(SEARCH("RandomUnderSampler",A78)),ISNUMBER(SEARCH("ClusterCentroids",A78)),ISNUMBER(SEARCH("OneSidedSelection",A78)))   ),   "Over+Under",   IF(    OR(ISNUMBER(SEARCH("SMOTE",A78)),ISNUMBER(SEARCH("SVMSMOTE",A78)),ISNUMBER(SEARCH("RandomOverSampler",A78)),ISNUMBER(SEARCH("BorderlineSmote",A78))),    "Oversampling",    IF(     OR(ISNUMBER(SEARCH("RandomUnderSampler",A78)),ISNUMBER(SEARCH("ClusterCentroids",A78)),ISNUMBER(SEARCH("OneSidedSelection",A78))),     "Undersampler",     "Czysty"    )   )  ) )</f>
        <v>Oversampling</v>
      </c>
      <c r="C78" s="1" t="s">
        <v>14</v>
      </c>
      <c r="D78" s="1" t="n">
        <v>0.6907</v>
      </c>
      <c r="E78" s="1" t="n">
        <v>0.6905</v>
      </c>
      <c r="F78" s="1" t="n">
        <v>0.6932</v>
      </c>
      <c r="G78" s="1" t="n">
        <v>0.6934</v>
      </c>
      <c r="I78" s="1"/>
      <c r="J78" s="1"/>
      <c r="K78" s="1"/>
      <c r="L78" s="1"/>
      <c r="M78" s="1"/>
      <c r="N78" s="1"/>
    </row>
    <row r="79" customFormat="false" ht="13.8" hidden="false" customHeight="false" outlineLevel="0" collapsed="false">
      <c r="A79" s="1" t="s">
        <v>86</v>
      </c>
      <c r="B79" s="1" t="str">
        <f aca="false">IF(  OR(ISNUMBER(SEARCH("SMOTEENN",A79)),ISNUMBER(SEARCH("SMOTETomek",A79))),  "Hybrid",  IF(   AND(    OR(ISNUMBER(SEARCH("SMOTE",A79)),ISNUMBER(SEARCH("SVMSMOTE",A79)),ISNUMBER(SEARCH("RandomOverSampler",A79)),ISNUMBER(SEARCH("BorderlineSmote",A79))),    OR(ISNUMBER(SEARCH("RandomUnderSampler",A79)),ISNUMBER(SEARCH("ClusterCentroids",A79)),ISNUMBER(SEARCH("OneSidedSelection",A79)))   ),   "Over+Under",   IF(    OR(ISNUMBER(SEARCH("SMOTE",A79)),ISNUMBER(SEARCH("SVMSMOTE",A79)),ISNUMBER(SEARCH("RandomOverSampler",A79)),ISNUMBER(SEARCH("BorderlineSmote",A79))),    "Oversampling",    IF(     OR(ISNUMBER(SEARCH("RandomUnderSampler",A79)),ISNUMBER(SEARCH("ClusterCentroids",A79)),ISNUMBER(SEARCH("OneSidedSelection",A79))),     "Undersampler",     "Czysty"    )   )  ) )</f>
        <v>Over+Under</v>
      </c>
      <c r="C79" s="1" t="s">
        <v>14</v>
      </c>
      <c r="D79" s="1" t="n">
        <v>0.687</v>
      </c>
      <c r="E79" s="1" t="n">
        <v>0.6889</v>
      </c>
      <c r="F79" s="1" t="n">
        <v>0.6895</v>
      </c>
      <c r="G79" s="1" t="n">
        <v>0.6917</v>
      </c>
      <c r="I79" s="1"/>
      <c r="J79" s="1"/>
      <c r="K79" s="1"/>
      <c r="L79" s="1"/>
      <c r="M79" s="1"/>
      <c r="N79" s="1"/>
    </row>
    <row r="80" customFormat="false" ht="13.8" hidden="false" customHeight="false" outlineLevel="0" collapsed="false">
      <c r="A80" s="1" t="s">
        <v>126</v>
      </c>
      <c r="B80" s="1" t="str">
        <f aca="false">IF(  OR(ISNUMBER(SEARCH("SMOTEENN",A80)),ISNUMBER(SEARCH("SMOTETomek",A80))),  "Hybrid",  IF(   AND(    OR(ISNUMBER(SEARCH("SMOTE",A80)),ISNUMBER(SEARCH("SVMSMOTE",A80)),ISNUMBER(SEARCH("RandomOverSampler",A80)),ISNUMBER(SEARCH("BorderlineSmote",A80))),    OR(ISNUMBER(SEARCH("RandomUnderSampler",A80)),ISNUMBER(SEARCH("ClusterCentroids",A80)),ISNUMBER(SEARCH("OneSidedSelection",A80)))   ),   "Over+Under",   IF(    OR(ISNUMBER(SEARCH("SMOTE",A80)),ISNUMBER(SEARCH("SVMSMOTE",A80)),ISNUMBER(SEARCH("RandomOverSampler",A80)),ISNUMBER(SEARCH("BorderlineSmote",A80))),    "Oversampling",    IF(     OR(ISNUMBER(SEARCH("RandomUnderSampler",A80)),ISNUMBER(SEARCH("ClusterCentroids",A80)),ISNUMBER(SEARCH("OneSidedSelection",A80))),     "Undersampler",     "Czysty"    )   )  ) )</f>
        <v>Oversampling</v>
      </c>
      <c r="C80" s="1" t="s">
        <v>14</v>
      </c>
      <c r="D80" s="1" t="n">
        <v>0.687</v>
      </c>
      <c r="E80" s="1" t="n">
        <v>0.6868</v>
      </c>
      <c r="F80" s="1" t="n">
        <v>0.6948</v>
      </c>
      <c r="G80" s="1" t="n">
        <v>0.6888</v>
      </c>
      <c r="I80" s="1"/>
      <c r="J80" s="1"/>
      <c r="K80" s="1"/>
      <c r="L80" s="1"/>
      <c r="M80" s="1"/>
      <c r="N80" s="1"/>
    </row>
    <row r="81" customFormat="false" ht="13.8" hidden="false" customHeight="false" outlineLevel="0" collapsed="false">
      <c r="A81" s="1" t="s">
        <v>88</v>
      </c>
      <c r="B81" s="1" t="str">
        <f aca="false">IF(  OR(ISNUMBER(SEARCH("SMOTEENN",A81)),ISNUMBER(SEARCH("SMOTETomek",A81))),  "Hybrid",  IF(   AND(    OR(ISNUMBER(SEARCH("SMOTE",A81)),ISNUMBER(SEARCH("SVMSMOTE",A81)),ISNUMBER(SEARCH("RandomOverSampler",A81)),ISNUMBER(SEARCH("BorderlineSmote",A81))),    OR(ISNUMBER(SEARCH("RandomUnderSampler",A81)),ISNUMBER(SEARCH("ClusterCentroids",A81)),ISNUMBER(SEARCH("OneSidedSelection",A81)))   ),   "Over+Under",   IF(    OR(ISNUMBER(SEARCH("SMOTE",A81)),ISNUMBER(SEARCH("SVMSMOTE",A81)),ISNUMBER(SEARCH("RandomOverSampler",A81)),ISNUMBER(SEARCH("BorderlineSmote",A81))),    "Oversampling",    IF(     OR(ISNUMBER(SEARCH("RandomUnderSampler",A81)),ISNUMBER(SEARCH("ClusterCentroids",A81)),ISNUMBER(SEARCH("OneSidedSelection",A81))),     "Undersampler",     "Czysty"    )   )  ) )</f>
        <v>Over+Under</v>
      </c>
      <c r="C81" s="1" t="s">
        <v>14</v>
      </c>
      <c r="D81" s="1" t="n">
        <v>0.6759</v>
      </c>
      <c r="E81" s="1" t="n">
        <v>0.5763</v>
      </c>
      <c r="F81" s="1" t="n">
        <v>0.6026</v>
      </c>
      <c r="G81" s="1" t="n">
        <v>0.6658</v>
      </c>
      <c r="I81" s="1"/>
      <c r="J81" s="1"/>
      <c r="K81" s="1"/>
      <c r="L81" s="1"/>
      <c r="M81" s="1"/>
      <c r="N81" s="1"/>
    </row>
    <row r="82" customFormat="false" ht="13.8" hidden="false" customHeight="false" outlineLevel="0" collapsed="false">
      <c r="A82" s="1" t="s">
        <v>84</v>
      </c>
      <c r="B82" s="1" t="str">
        <f aca="false">IF(  OR(ISNUMBER(SEARCH("SMOTEENN",A82)),ISNUMBER(SEARCH("SMOTETomek",A82))),  "Hybrid",  IF(   AND(    OR(ISNUMBER(SEARCH("SMOTE",A82)),ISNUMBER(SEARCH("SVMSMOTE",A82)),ISNUMBER(SEARCH("RandomOverSampler",A82)),ISNUMBER(SEARCH("BorderlineSmote",A82))),    OR(ISNUMBER(SEARCH("RandomUnderSampler",A82)),ISNUMBER(SEARCH("ClusterCentroids",A82)),ISNUMBER(SEARCH("OneSidedSelection",A82)))   ),   "Over+Under",   IF(    OR(ISNUMBER(SEARCH("SMOTE",A82)),ISNUMBER(SEARCH("SVMSMOTE",A82)),ISNUMBER(SEARCH("RandomOverSampler",A82)),ISNUMBER(SEARCH("BorderlineSmote",A82))),    "Oversampling",    IF(     OR(ISNUMBER(SEARCH("RandomUnderSampler",A82)),ISNUMBER(SEARCH("ClusterCentroids",A82)),ISNUMBER(SEARCH("OneSidedSelection",A82))),     "Undersampler",     "Czysty"    )   )  ) )</f>
        <v>Over+Under</v>
      </c>
      <c r="C82" s="1" t="s">
        <v>14</v>
      </c>
      <c r="D82" s="1" t="n">
        <v>0.6481</v>
      </c>
      <c r="E82" s="1" t="n">
        <v>0.5575</v>
      </c>
      <c r="F82" s="1" t="n">
        <v>0.6291</v>
      </c>
      <c r="G82" s="1" t="n">
        <v>0.6392</v>
      </c>
      <c r="I82" s="1"/>
      <c r="J82" s="1"/>
      <c r="K82" s="1"/>
      <c r="L82" s="1"/>
      <c r="M82" s="1"/>
      <c r="N82" s="1"/>
    </row>
    <row r="83" customFormat="false" ht="13.8" hidden="false" customHeight="false" outlineLevel="0" collapsed="false">
      <c r="A83" s="1" t="s">
        <v>87</v>
      </c>
      <c r="B83" s="1" t="str">
        <f aca="false">IF(  OR(ISNUMBER(SEARCH("SMOTEENN",A83)),ISNUMBER(SEARCH("SMOTETomek",A83))),  "Hybrid",  IF(   AND(    OR(ISNUMBER(SEARCH("SMOTE",A83)),ISNUMBER(SEARCH("SVMSMOTE",A83)),ISNUMBER(SEARCH("RandomOverSampler",A83)),ISNUMBER(SEARCH("BorderlineSmote",A83))),    OR(ISNUMBER(SEARCH("RandomUnderSampler",A83)),ISNUMBER(SEARCH("ClusterCentroids",A83)),ISNUMBER(SEARCH("OneSidedSelection",A83)))   ),   "Over+Under",   IF(    OR(ISNUMBER(SEARCH("SMOTE",A83)),ISNUMBER(SEARCH("SVMSMOTE",A83)),ISNUMBER(SEARCH("RandomOverSampler",A83)),ISNUMBER(SEARCH("BorderlineSmote",A83))),    "Oversampling",    IF(     OR(ISNUMBER(SEARCH("RandomUnderSampler",A83)),ISNUMBER(SEARCH("ClusterCentroids",A83)),ISNUMBER(SEARCH("OneSidedSelection",A83))),     "Undersampler",     "Czysty"    )   )  ) )</f>
        <v>Hybrid</v>
      </c>
      <c r="C83" s="1" t="s">
        <v>14</v>
      </c>
      <c r="D83" s="1" t="n">
        <v>0.6019</v>
      </c>
      <c r="E83" s="1" t="n">
        <v>0.5541</v>
      </c>
      <c r="F83" s="1" t="n">
        <v>0.58</v>
      </c>
      <c r="G83" s="1" t="n">
        <v>0.6066</v>
      </c>
      <c r="I83" s="1"/>
      <c r="J83" s="1"/>
      <c r="K83" s="1"/>
      <c r="L83" s="1"/>
      <c r="M83" s="1"/>
      <c r="N83" s="1"/>
    </row>
    <row r="84" customFormat="false" ht="13.8" hidden="false" customHeight="false" outlineLevel="0" collapsed="false">
      <c r="A84" s="1" t="s">
        <v>23</v>
      </c>
      <c r="B84" s="1" t="str">
        <f aca="false">IF(  OR(ISNUMBER(SEARCH("SMOTEENN",A84)),ISNUMBER(SEARCH("SMOTETomek",A84))),  "Hybrid",  IF(   AND(    OR(ISNUMBER(SEARCH("SMOTE",A84)),ISNUMBER(SEARCH("SVMSMOTE",A84)),ISNUMBER(SEARCH("RandomOverSampler",A84)),ISNUMBER(SEARCH("BorderlineSmote",A84))),    OR(ISNUMBER(SEARCH("RandomUnderSampler",A84)),ISNUMBER(SEARCH("ClusterCentroids",A84)),ISNUMBER(SEARCH("OneSidedSelection",A84)))   ),   "Over+Under",   IF(    OR(ISNUMBER(SEARCH("SMOTE",A84)),ISNUMBER(SEARCH("SVMSMOTE",A84)),ISNUMBER(SEARCH("RandomOverSampler",A84)),ISNUMBER(SEARCH("BorderlineSmote",A84))),    "Oversampling",    IF(     OR(ISNUMBER(SEARCH("RandomUnderSampler",A84)),ISNUMBER(SEARCH("ClusterCentroids",A84)),ISNUMBER(SEARCH("OneSidedSelection",A84))),     "Undersampler",     "Czysty"    )   )  ) )</f>
        <v>Czysty</v>
      </c>
      <c r="C84" s="1" t="s">
        <v>74</v>
      </c>
      <c r="D84" s="1" t="n">
        <v>0.7333</v>
      </c>
      <c r="E84" s="1" t="n">
        <v>0.7353</v>
      </c>
      <c r="F84" s="1" t="n">
        <v>0.7465</v>
      </c>
      <c r="G84" s="1" t="n">
        <v>0.7355</v>
      </c>
      <c r="I84" s="1"/>
      <c r="J84" s="1"/>
      <c r="K84" s="1"/>
      <c r="L84" s="1"/>
      <c r="M84" s="1"/>
      <c r="N84" s="1"/>
    </row>
    <row r="85" customFormat="false" ht="13.8" hidden="false" customHeight="false" outlineLevel="0" collapsed="false">
      <c r="A85" s="1" t="s">
        <v>81</v>
      </c>
      <c r="B85" s="1" t="str">
        <f aca="false">IF(  OR(ISNUMBER(SEARCH("SMOTEENN",A85)),ISNUMBER(SEARCH("SMOTETomek",A85))),  "Hybrid",  IF(   AND(    OR(ISNUMBER(SEARCH("SMOTE",A85)),ISNUMBER(SEARCH("SVMSMOTE",A85)),ISNUMBER(SEARCH("RandomOverSampler",A85)),ISNUMBER(SEARCH("BorderlineSmote",A85))),    OR(ISNUMBER(SEARCH("RandomUnderSampler",A85)),ISNUMBER(SEARCH("ClusterCentroids",A85)),ISNUMBER(SEARCH("OneSidedSelection",A85)))   ),   "Over+Under",   IF(    OR(ISNUMBER(SEARCH("SMOTE",A85)),ISNUMBER(SEARCH("SVMSMOTE",A85)),ISNUMBER(SEARCH("RandomOverSampler",A85)),ISNUMBER(SEARCH("BorderlineSmote",A85))),    "Oversampling",    IF(     OR(ISNUMBER(SEARCH("RandomUnderSampler",A85)),ISNUMBER(SEARCH("ClusterCentroids",A85)),ISNUMBER(SEARCH("OneSidedSelection",A85))),     "Undersampler",     "Czysty"    )   )  ) )</f>
        <v>Oversampling</v>
      </c>
      <c r="C85" s="1" t="s">
        <v>74</v>
      </c>
      <c r="D85" s="1" t="n">
        <v>0.7278</v>
      </c>
      <c r="E85" s="1" t="n">
        <v>0.7282</v>
      </c>
      <c r="F85" s="1" t="n">
        <v>0.7326</v>
      </c>
      <c r="G85" s="1" t="n">
        <v>0.7292</v>
      </c>
      <c r="I85" s="1"/>
      <c r="J85" s="1"/>
      <c r="K85" s="1"/>
      <c r="L85" s="1"/>
      <c r="M85" s="1"/>
      <c r="N85" s="1"/>
    </row>
    <row r="86" customFormat="false" ht="13.8" hidden="false" customHeight="false" outlineLevel="0" collapsed="false">
      <c r="A86" s="1" t="s">
        <v>123</v>
      </c>
      <c r="B86" s="1" t="str">
        <f aca="false">IF(  OR(ISNUMBER(SEARCH("SMOTEENN",A86)),ISNUMBER(SEARCH("SMOTETomek",A86))),  "Hybrid",  IF(   AND(    OR(ISNUMBER(SEARCH("SMOTE",A86)),ISNUMBER(SEARCH("SVMSMOTE",A86)),ISNUMBER(SEARCH("RandomOverSampler",A86)),ISNUMBER(SEARCH("BorderlineSmote",A86))),    OR(ISNUMBER(SEARCH("RandomUnderSampler",A86)),ISNUMBER(SEARCH("ClusterCentroids",A86)),ISNUMBER(SEARCH("OneSidedSelection",A86)))   ),   "Over+Under",   IF(    OR(ISNUMBER(SEARCH("SMOTE",A86)),ISNUMBER(SEARCH("SVMSMOTE",A86)),ISNUMBER(SEARCH("RandomOverSampler",A86)),ISNUMBER(SEARCH("BorderlineSmote",A86))),    "Oversampling",    IF(     OR(ISNUMBER(SEARCH("RandomUnderSampler",A86)),ISNUMBER(SEARCH("ClusterCentroids",A86)),ISNUMBER(SEARCH("OneSidedSelection",A86))),     "Undersampler",     "Czysty"    )   )  ) )</f>
        <v>Oversampling</v>
      </c>
      <c r="C86" s="1" t="s">
        <v>74</v>
      </c>
      <c r="D86" s="1" t="n">
        <v>0.7167</v>
      </c>
      <c r="E86" s="1" t="n">
        <v>0.7178</v>
      </c>
      <c r="F86" s="1" t="n">
        <v>0.7226</v>
      </c>
      <c r="G86" s="1" t="n">
        <v>0.7209</v>
      </c>
      <c r="I86" s="1"/>
      <c r="J86" s="1"/>
      <c r="K86" s="1"/>
      <c r="L86" s="1"/>
      <c r="M86" s="1"/>
      <c r="N86" s="1"/>
    </row>
    <row r="87" customFormat="false" ht="13.8" hidden="false" customHeight="false" outlineLevel="0" collapsed="false">
      <c r="A87" s="1" t="s">
        <v>83</v>
      </c>
      <c r="B87" s="1" t="str">
        <f aca="false">IF(  OR(ISNUMBER(SEARCH("SMOTEENN",A87)),ISNUMBER(SEARCH("SMOTETomek",A87))),  "Hybrid",  IF(   AND(    OR(ISNUMBER(SEARCH("SMOTE",A87)),ISNUMBER(SEARCH("SVMSMOTE",A87)),ISNUMBER(SEARCH("RandomOverSampler",A87)),ISNUMBER(SEARCH("BorderlineSmote",A87))),    OR(ISNUMBER(SEARCH("RandomUnderSampler",A87)),ISNUMBER(SEARCH("ClusterCentroids",A87)),ISNUMBER(SEARCH("OneSidedSelection",A87)))   ),   "Over+Under",   IF(    OR(ISNUMBER(SEARCH("SMOTE",A87)),ISNUMBER(SEARCH("SVMSMOTE",A87)),ISNUMBER(SEARCH("RandomOverSampler",A87)),ISNUMBER(SEARCH("BorderlineSmote",A87))),    "Oversampling",    IF(     OR(ISNUMBER(SEARCH("RandomUnderSampler",A87)),ISNUMBER(SEARCH("ClusterCentroids",A87)),ISNUMBER(SEARCH("OneSidedSelection",A87))),     "Undersampler",     "Czysty"    )   )  ) )</f>
        <v>Over+Under</v>
      </c>
      <c r="C87" s="1" t="s">
        <v>74</v>
      </c>
      <c r="D87" s="1" t="n">
        <v>0.7185</v>
      </c>
      <c r="E87" s="1" t="n">
        <v>0.7176</v>
      </c>
      <c r="F87" s="1" t="n">
        <v>0.7214</v>
      </c>
      <c r="G87" s="1" t="n">
        <v>0.7216</v>
      </c>
      <c r="I87" s="1"/>
      <c r="J87" s="1"/>
      <c r="K87" s="1"/>
      <c r="L87" s="1"/>
      <c r="M87" s="1"/>
      <c r="N87" s="1"/>
    </row>
    <row r="88" customFormat="false" ht="13.8" hidden="false" customHeight="false" outlineLevel="0" collapsed="false">
      <c r="A88" s="1" t="s">
        <v>125</v>
      </c>
      <c r="B88" s="1" t="str">
        <f aca="false">IF(  OR(ISNUMBER(SEARCH("SMOTEENN",A88)),ISNUMBER(SEARCH("SMOTETomek",A88))),  "Hybrid",  IF(   AND(    OR(ISNUMBER(SEARCH("SMOTE",A88)),ISNUMBER(SEARCH("SVMSMOTE",A88)),ISNUMBER(SEARCH("RandomOverSampler",A88)),ISNUMBER(SEARCH("BorderlineSmote",A88))),    OR(ISNUMBER(SEARCH("RandomUnderSampler",A88)),ISNUMBER(SEARCH("ClusterCentroids",A88)),ISNUMBER(SEARCH("OneSidedSelection",A88)))   ),   "Over+Under",   IF(    OR(ISNUMBER(SEARCH("SMOTE",A88)),ISNUMBER(SEARCH("SVMSMOTE",A88)),ISNUMBER(SEARCH("RandomOverSampler",A88)),ISNUMBER(SEARCH("BorderlineSmote",A88))),    "Oversampling",    IF(     OR(ISNUMBER(SEARCH("RandomUnderSampler",A88)),ISNUMBER(SEARCH("ClusterCentroids",A88)),ISNUMBER(SEARCH("OneSidedSelection",A88))),     "Undersampler",     "Czysty"    )   )  ) )</f>
        <v>Over+Under</v>
      </c>
      <c r="C88" s="1" t="s">
        <v>74</v>
      </c>
      <c r="D88" s="1" t="n">
        <v>0.7019</v>
      </c>
      <c r="E88" s="1" t="n">
        <v>0.7068</v>
      </c>
      <c r="F88" s="1" t="n">
        <v>0.7122</v>
      </c>
      <c r="G88" s="1" t="n">
        <v>0.7041</v>
      </c>
      <c r="I88" s="1"/>
      <c r="J88" s="1"/>
      <c r="K88" s="1"/>
      <c r="L88" s="1"/>
      <c r="M88" s="1"/>
      <c r="N88" s="1"/>
    </row>
    <row r="89" customFormat="false" ht="13.8" hidden="false" customHeight="false" outlineLevel="0" collapsed="false">
      <c r="A89" s="1" t="s">
        <v>85</v>
      </c>
      <c r="B89" s="1" t="str">
        <f aca="false">IF(  OR(ISNUMBER(SEARCH("SMOTEENN",A89)),ISNUMBER(SEARCH("SMOTETomek",A89))),  "Hybrid",  IF(   AND(    OR(ISNUMBER(SEARCH("SMOTE",A89)),ISNUMBER(SEARCH("SVMSMOTE",A89)),ISNUMBER(SEARCH("RandomOverSampler",A89)),ISNUMBER(SEARCH("BorderlineSmote",A89))),    OR(ISNUMBER(SEARCH("RandomUnderSampler",A89)),ISNUMBER(SEARCH("ClusterCentroids",A89)),ISNUMBER(SEARCH("OneSidedSelection",A89)))   ),   "Over+Under",   IF(    OR(ISNUMBER(SEARCH("SMOTE",A89)),ISNUMBER(SEARCH("SVMSMOTE",A89)),ISNUMBER(SEARCH("RandomOverSampler",A89)),ISNUMBER(SEARCH("BorderlineSmote",A89))),    "Oversampling",    IF(     OR(ISNUMBER(SEARCH("RandomUnderSampler",A89)),ISNUMBER(SEARCH("ClusterCentroids",A89)),ISNUMBER(SEARCH("OneSidedSelection",A89))),     "Undersampler",     "Czysty"    )   )  ) )</f>
        <v>Over+Under</v>
      </c>
      <c r="C89" s="1" t="s">
        <v>74</v>
      </c>
      <c r="D89" s="1" t="n">
        <v>0.7037</v>
      </c>
      <c r="E89" s="1" t="n">
        <v>0.7064</v>
      </c>
      <c r="F89" s="1" t="n">
        <v>0.7123</v>
      </c>
      <c r="G89" s="1" t="n">
        <v>0.7064</v>
      </c>
      <c r="I89" s="1"/>
      <c r="J89" s="1"/>
      <c r="K89" s="1"/>
      <c r="L89" s="1"/>
      <c r="M89" s="1"/>
      <c r="N89" s="1"/>
    </row>
    <row r="90" customFormat="false" ht="13.8" hidden="false" customHeight="false" outlineLevel="0" collapsed="false">
      <c r="A90" s="1" t="s">
        <v>79</v>
      </c>
      <c r="B90" s="1" t="str">
        <f aca="false">IF(  OR(ISNUMBER(SEARCH("SMOTEENN",A90)),ISNUMBER(SEARCH("SMOTETomek",A90))),  "Hybrid",  IF(   AND(    OR(ISNUMBER(SEARCH("SMOTE",A90)),ISNUMBER(SEARCH("SVMSMOTE",A90)),ISNUMBER(SEARCH("RandomOverSampler",A90)),ISNUMBER(SEARCH("BorderlineSmote",A90))),    OR(ISNUMBER(SEARCH("RandomUnderSampler",A90)),ISNUMBER(SEARCH("ClusterCentroids",A90)),ISNUMBER(SEARCH("OneSidedSelection",A90)))   ),   "Over+Under",   IF(    OR(ISNUMBER(SEARCH("SMOTE",A90)),ISNUMBER(SEARCH("SVMSMOTE",A90)),ISNUMBER(SEARCH("RandomOverSampler",A90)),ISNUMBER(SEARCH("BorderlineSmote",A90))),    "Oversampling",    IF(     OR(ISNUMBER(SEARCH("RandomUnderSampler",A90)),ISNUMBER(SEARCH("ClusterCentroids",A90)),ISNUMBER(SEARCH("OneSidedSelection",A90))),     "Undersampler",     "Czysty"    )   )  ) )</f>
        <v>Oversampling</v>
      </c>
      <c r="C90" s="1" t="s">
        <v>74</v>
      </c>
      <c r="D90" s="1" t="n">
        <v>0.7</v>
      </c>
      <c r="E90" s="1" t="n">
        <v>0.7044</v>
      </c>
      <c r="F90" s="1" t="n">
        <v>0.7084</v>
      </c>
      <c r="G90" s="1" t="n">
        <v>0.7035</v>
      </c>
      <c r="I90" s="1"/>
      <c r="J90" s="1"/>
      <c r="K90" s="1"/>
      <c r="L90" s="1"/>
      <c r="M90" s="1"/>
      <c r="N90" s="1"/>
    </row>
    <row r="91" customFormat="false" ht="13.8" hidden="false" customHeight="false" outlineLevel="0" collapsed="false">
      <c r="A91" s="1" t="s">
        <v>82</v>
      </c>
      <c r="B91" s="1" t="str">
        <f aca="false">IF(  OR(ISNUMBER(SEARCH("SMOTEENN",A91)),ISNUMBER(SEARCH("SMOTETomek",A91))),  "Hybrid",  IF(   AND(    OR(ISNUMBER(SEARCH("SMOTE",A91)),ISNUMBER(SEARCH("SVMSMOTE",A91)),ISNUMBER(SEARCH("RandomOverSampler",A91)),ISNUMBER(SEARCH("BorderlineSmote",A91))),    OR(ISNUMBER(SEARCH("RandomUnderSampler",A91)),ISNUMBER(SEARCH("ClusterCentroids",A91)),ISNUMBER(SEARCH("OneSidedSelection",A91)))   ),   "Over+Under",   IF(    OR(ISNUMBER(SEARCH("SMOTE",A91)),ISNUMBER(SEARCH("SVMSMOTE",A91)),ISNUMBER(SEARCH("RandomOverSampler",A91)),ISNUMBER(SEARCH("BorderlineSmote",A91))),    "Oversampling",    IF(     OR(ISNUMBER(SEARCH("RandomUnderSampler",A91)),ISNUMBER(SEARCH("ClusterCentroids",A91)),ISNUMBER(SEARCH("OneSidedSelection",A91))),     "Undersampler",     "Czysty"    )   )  ) )</f>
        <v>Over+Under</v>
      </c>
      <c r="C91" s="1" t="s">
        <v>74</v>
      </c>
      <c r="D91" s="1" t="n">
        <v>0.6907</v>
      </c>
      <c r="E91" s="1" t="n">
        <v>0.6931</v>
      </c>
      <c r="F91" s="1" t="n">
        <v>0.694</v>
      </c>
      <c r="G91" s="1" t="n">
        <v>0.6946</v>
      </c>
      <c r="I91" s="1"/>
      <c r="J91" s="1"/>
      <c r="K91" s="1"/>
      <c r="L91" s="1"/>
      <c r="M91" s="1"/>
      <c r="N91" s="1"/>
    </row>
    <row r="92" customFormat="false" ht="13.8" hidden="false" customHeight="false" outlineLevel="0" collapsed="false">
      <c r="A92" s="1" t="s">
        <v>86</v>
      </c>
      <c r="B92" s="1" t="str">
        <f aca="false">IF(  OR(ISNUMBER(SEARCH("SMOTEENN",A92)),ISNUMBER(SEARCH("SMOTETomek",A92))),  "Hybrid",  IF(   AND(    OR(ISNUMBER(SEARCH("SMOTE",A92)),ISNUMBER(SEARCH("SVMSMOTE",A92)),ISNUMBER(SEARCH("RandomOverSampler",A92)),ISNUMBER(SEARCH("BorderlineSmote",A92))),    OR(ISNUMBER(SEARCH("RandomUnderSampler",A92)),ISNUMBER(SEARCH("ClusterCentroids",A92)),ISNUMBER(SEARCH("OneSidedSelection",A92)))   ),   "Over+Under",   IF(    OR(ISNUMBER(SEARCH("SMOTE",A92)),ISNUMBER(SEARCH("SVMSMOTE",A92)),ISNUMBER(SEARCH("RandomOverSampler",A92)),ISNUMBER(SEARCH("BorderlineSmote",A92))),    "Oversampling",    IF(     OR(ISNUMBER(SEARCH("RandomUnderSampler",A92)),ISNUMBER(SEARCH("ClusterCentroids",A92)),ISNUMBER(SEARCH("OneSidedSelection",A92))),     "Undersampler",     "Czysty"    )   )  ) )</f>
        <v>Over+Under</v>
      </c>
      <c r="C92" s="1" t="s">
        <v>74</v>
      </c>
      <c r="D92" s="1" t="n">
        <v>0.6833</v>
      </c>
      <c r="E92" s="1" t="n">
        <v>0.6865</v>
      </c>
      <c r="F92" s="1" t="n">
        <v>0.6896</v>
      </c>
      <c r="G92" s="1" t="n">
        <v>0.6864</v>
      </c>
      <c r="I92" s="1"/>
      <c r="J92" s="1"/>
      <c r="K92" s="1"/>
      <c r="L92" s="1"/>
      <c r="M92" s="1"/>
      <c r="N92" s="1"/>
    </row>
    <row r="93" customFormat="false" ht="13.8" hidden="false" customHeight="false" outlineLevel="0" collapsed="false">
      <c r="A93" s="1" t="s">
        <v>124</v>
      </c>
      <c r="B93" s="1" t="str">
        <f aca="false">IF(  OR(ISNUMBER(SEARCH("SMOTEENN",A93)),ISNUMBER(SEARCH("SMOTETomek",A93))),  "Hybrid",  IF(   AND(    OR(ISNUMBER(SEARCH("SMOTE",A93)),ISNUMBER(SEARCH("SVMSMOTE",A93)),ISNUMBER(SEARCH("RandomOverSampler",A93)),ISNUMBER(SEARCH("BorderlineSmote",A93))),    OR(ISNUMBER(SEARCH("RandomUnderSampler",A93)),ISNUMBER(SEARCH("ClusterCentroids",A93)),ISNUMBER(SEARCH("OneSidedSelection",A93)))   ),   "Over+Under",   IF(    OR(ISNUMBER(SEARCH("SMOTE",A93)),ISNUMBER(SEARCH("SVMSMOTE",A93)),ISNUMBER(SEARCH("RandomOverSampler",A93)),ISNUMBER(SEARCH("BorderlineSmote",A93))),    "Oversampling",    IF(     OR(ISNUMBER(SEARCH("RandomUnderSampler",A93)),ISNUMBER(SEARCH("ClusterCentroids",A93)),ISNUMBER(SEARCH("OneSidedSelection",A93))),     "Undersampler",     "Czysty"    )   )  ) )</f>
        <v>Over+Under</v>
      </c>
      <c r="C93" s="1" t="s">
        <v>74</v>
      </c>
      <c r="D93" s="1" t="n">
        <v>0.6722</v>
      </c>
      <c r="E93" s="1" t="n">
        <v>0.6743</v>
      </c>
      <c r="F93" s="1" t="n">
        <v>0.6771</v>
      </c>
      <c r="G93" s="1" t="n">
        <v>0.6787</v>
      </c>
      <c r="I93" s="1"/>
      <c r="J93" s="1"/>
      <c r="K93" s="1"/>
      <c r="L93" s="1"/>
      <c r="M93" s="1"/>
      <c r="N93" s="1"/>
    </row>
    <row r="94" customFormat="false" ht="13.8" hidden="false" customHeight="false" outlineLevel="0" collapsed="false">
      <c r="A94" s="1" t="s">
        <v>126</v>
      </c>
      <c r="B94" s="1" t="str">
        <f aca="false">IF(  OR(ISNUMBER(SEARCH("SMOTEENN",A94)),ISNUMBER(SEARCH("SMOTETomek",A94))),  "Hybrid",  IF(   AND(    OR(ISNUMBER(SEARCH("SMOTE",A94)),ISNUMBER(SEARCH("SVMSMOTE",A94)),ISNUMBER(SEARCH("RandomOverSampler",A94)),ISNUMBER(SEARCH("BorderlineSmote",A94))),    OR(ISNUMBER(SEARCH("RandomUnderSampler",A94)),ISNUMBER(SEARCH("ClusterCentroids",A94)),ISNUMBER(SEARCH("OneSidedSelection",A94)))   ),   "Over+Under",   IF(    OR(ISNUMBER(SEARCH("SMOTE",A94)),ISNUMBER(SEARCH("SVMSMOTE",A94)),ISNUMBER(SEARCH("RandomOverSampler",A94)),ISNUMBER(SEARCH("BorderlineSmote",A94))),    "Oversampling",    IF(     OR(ISNUMBER(SEARCH("RandomUnderSampler",A94)),ISNUMBER(SEARCH("ClusterCentroids",A94)),ISNUMBER(SEARCH("OneSidedSelection",A94))),     "Undersampler",     "Czysty"    )   )  ) )</f>
        <v>Oversampling</v>
      </c>
      <c r="C94" s="1" t="s">
        <v>74</v>
      </c>
      <c r="D94" s="1" t="n">
        <v>0.6519</v>
      </c>
      <c r="E94" s="1" t="n">
        <v>0.6532</v>
      </c>
      <c r="F94" s="1" t="n">
        <v>0.6616</v>
      </c>
      <c r="G94" s="1" t="n">
        <v>0.6539</v>
      </c>
      <c r="I94" s="1"/>
      <c r="J94" s="1"/>
      <c r="K94" s="1"/>
      <c r="L94" s="1"/>
      <c r="M94" s="1"/>
      <c r="N94" s="1"/>
    </row>
    <row r="95" customFormat="false" ht="13.8" hidden="false" customHeight="false" outlineLevel="0" collapsed="false">
      <c r="A95" s="1" t="s">
        <v>80</v>
      </c>
      <c r="B95" s="1" t="str">
        <f aca="false">IF(  OR(ISNUMBER(SEARCH("SMOTEENN",A95)),ISNUMBER(SEARCH("SMOTETomek",A95))),  "Hybrid",  IF(   AND(    OR(ISNUMBER(SEARCH("SMOTE",A95)),ISNUMBER(SEARCH("SVMSMOTE",A95)),ISNUMBER(SEARCH("RandomOverSampler",A95)),ISNUMBER(SEARCH("BorderlineSmote",A95))),    OR(ISNUMBER(SEARCH("RandomUnderSampler",A95)),ISNUMBER(SEARCH("ClusterCentroids",A95)),ISNUMBER(SEARCH("OneSidedSelection",A95)))   ),   "Over+Under",   IF(    OR(ISNUMBER(SEARCH("SMOTE",A95)),ISNUMBER(SEARCH("SVMSMOTE",A95)),ISNUMBER(SEARCH("RandomOverSampler",A95)),ISNUMBER(SEARCH("BorderlineSmote",A95))),    "Oversampling",    IF(     OR(ISNUMBER(SEARCH("RandomUnderSampler",A95)),ISNUMBER(SEARCH("ClusterCentroids",A95)),ISNUMBER(SEARCH("OneSidedSelection",A95))),     "Undersampler",     "Czysty"    )   )  ) )</f>
        <v>Hybrid</v>
      </c>
      <c r="C95" s="1" t="s">
        <v>74</v>
      </c>
      <c r="D95" s="1" t="n">
        <v>0.65</v>
      </c>
      <c r="E95" s="1" t="n">
        <v>0.6511</v>
      </c>
      <c r="F95" s="1" t="n">
        <v>0.6537</v>
      </c>
      <c r="G95" s="1" t="n">
        <v>0.6557</v>
      </c>
      <c r="I95" s="1"/>
      <c r="J95" s="1"/>
      <c r="K95" s="1"/>
      <c r="L95" s="1"/>
      <c r="M95" s="1"/>
      <c r="N95" s="1"/>
    </row>
    <row r="96" customFormat="false" ht="13.8" hidden="false" customHeight="false" outlineLevel="0" collapsed="false">
      <c r="A96" s="1" t="s">
        <v>87</v>
      </c>
      <c r="B96" s="1" t="str">
        <f aca="false">IF(  OR(ISNUMBER(SEARCH("SMOTEENN",A96)),ISNUMBER(SEARCH("SMOTETomek",A96))),  "Hybrid",  IF(   AND(    OR(ISNUMBER(SEARCH("SMOTE",A96)),ISNUMBER(SEARCH("SVMSMOTE",A96)),ISNUMBER(SEARCH("RandomOverSampler",A96)),ISNUMBER(SEARCH("BorderlineSmote",A96))),    OR(ISNUMBER(SEARCH("RandomUnderSampler",A96)),ISNUMBER(SEARCH("ClusterCentroids",A96)),ISNUMBER(SEARCH("OneSidedSelection",A96)))   ),   "Over+Under",   IF(    OR(ISNUMBER(SEARCH("SMOTE",A96)),ISNUMBER(SEARCH("SVMSMOTE",A96)),ISNUMBER(SEARCH("RandomOverSampler",A96)),ISNUMBER(SEARCH("BorderlineSmote",A96))),    "Oversampling",    IF(     OR(ISNUMBER(SEARCH("RandomUnderSampler",A96)),ISNUMBER(SEARCH("ClusterCentroids",A96)),ISNUMBER(SEARCH("OneSidedSelection",A96))),     "Undersampler",     "Czysty"    )   )  ) )</f>
        <v>Hybrid</v>
      </c>
      <c r="C96" s="1" t="s">
        <v>74</v>
      </c>
      <c r="D96" s="1" t="n">
        <v>0.6222</v>
      </c>
      <c r="E96" s="1" t="n">
        <v>0.5643</v>
      </c>
      <c r="F96" s="1" t="n">
        <v>0.6037</v>
      </c>
      <c r="G96" s="1" t="n">
        <v>0.6281</v>
      </c>
      <c r="I96" s="1"/>
      <c r="J96" s="1"/>
      <c r="K96" s="1"/>
      <c r="L96" s="1"/>
      <c r="M96" s="1"/>
      <c r="N96" s="1"/>
    </row>
    <row r="97" customFormat="false" ht="13.8" hidden="false" customHeight="false" outlineLevel="0" collapsed="false">
      <c r="A97" s="1" t="s">
        <v>88</v>
      </c>
      <c r="B97" s="1" t="str">
        <f aca="false">IF(  OR(ISNUMBER(SEARCH("SMOTEENN",A97)),ISNUMBER(SEARCH("SMOTETomek",A97))),  "Hybrid",  IF(   AND(    OR(ISNUMBER(SEARCH("SMOTE",A97)),ISNUMBER(SEARCH("SVMSMOTE",A97)),ISNUMBER(SEARCH("RandomOverSampler",A97)),ISNUMBER(SEARCH("BorderlineSmote",A97))),    OR(ISNUMBER(SEARCH("RandomUnderSampler",A97)),ISNUMBER(SEARCH("ClusterCentroids",A97)),ISNUMBER(SEARCH("OneSidedSelection",A97)))   ),   "Over+Under",   IF(    OR(ISNUMBER(SEARCH("SMOTE",A97)),ISNUMBER(SEARCH("SVMSMOTE",A97)),ISNUMBER(SEARCH("RandomOverSampler",A97)),ISNUMBER(SEARCH("BorderlineSmote",A97))),    "Oversampling",    IF(     OR(ISNUMBER(SEARCH("RandomUnderSampler",A97)),ISNUMBER(SEARCH("ClusterCentroids",A97)),ISNUMBER(SEARCH("OneSidedSelection",A97))),     "Undersampler",     "Czysty"    )   )  ) )</f>
        <v>Over+Under</v>
      </c>
      <c r="C97" s="1" t="s">
        <v>74</v>
      </c>
      <c r="D97" s="1" t="n">
        <v>0.6611</v>
      </c>
      <c r="E97" s="1" t="n">
        <v>0.5544</v>
      </c>
      <c r="F97" s="1" t="n">
        <v>0.5908</v>
      </c>
      <c r="G97" s="1" t="n">
        <v>0.6509</v>
      </c>
      <c r="I97" s="1"/>
      <c r="J97" s="1"/>
      <c r="K97" s="1"/>
      <c r="L97" s="1"/>
      <c r="M97" s="1"/>
      <c r="N97" s="1"/>
    </row>
    <row r="98" customFormat="false" ht="13.8" hidden="false" customHeight="false" outlineLevel="0" collapsed="false">
      <c r="A98" s="1" t="s">
        <v>84</v>
      </c>
      <c r="B98" s="1" t="str">
        <f aca="false">IF(  OR(ISNUMBER(SEARCH("SMOTEENN",A98)),ISNUMBER(SEARCH("SMOTETomek",A98))),  "Hybrid",  IF(   AND(    OR(ISNUMBER(SEARCH("SMOTE",A98)),ISNUMBER(SEARCH("SVMSMOTE",A98)),ISNUMBER(SEARCH("RandomOverSampler",A98)),ISNUMBER(SEARCH("BorderlineSmote",A98))),    OR(ISNUMBER(SEARCH("RandomUnderSampler",A98)),ISNUMBER(SEARCH("ClusterCentroids",A98)),ISNUMBER(SEARCH("OneSidedSelection",A98)))   ),   "Over+Under",   IF(    OR(ISNUMBER(SEARCH("SMOTE",A98)),ISNUMBER(SEARCH("SVMSMOTE",A98)),ISNUMBER(SEARCH("RandomOverSampler",A98)),ISNUMBER(SEARCH("BorderlineSmote",A98))),    "Oversampling",    IF(     OR(ISNUMBER(SEARCH("RandomUnderSampler",A98)),ISNUMBER(SEARCH("ClusterCentroids",A98)),ISNUMBER(SEARCH("OneSidedSelection",A98))),     "Undersampler",     "Czysty"    )   )  ) )</f>
        <v>Over+Under</v>
      </c>
      <c r="C98" s="1" t="s">
        <v>74</v>
      </c>
      <c r="D98" s="1" t="n">
        <v>0.6389</v>
      </c>
      <c r="E98" s="1" t="n">
        <v>0.5345</v>
      </c>
      <c r="F98" s="1" t="n">
        <v>0.4978</v>
      </c>
      <c r="G98" s="1" t="n">
        <v>0.6286</v>
      </c>
      <c r="I98" s="1"/>
      <c r="J98" s="1"/>
      <c r="K98" s="1"/>
      <c r="L98" s="1"/>
      <c r="M98" s="1"/>
      <c r="N98" s="1"/>
    </row>
    <row r="100" customFormat="false" ht="13.8" hidden="false" customHeight="false" outlineLevel="0" collapsed="false">
      <c r="A100" s="2" t="s">
        <v>26</v>
      </c>
      <c r="B100" s="2"/>
      <c r="C100" s="2"/>
      <c r="D100" s="2"/>
      <c r="E100" s="2"/>
      <c r="F100" s="2"/>
      <c r="G100" s="2"/>
    </row>
    <row r="101" customFormat="false" ht="13.8" hidden="false" customHeight="false" outlineLevel="0" collapsed="false">
      <c r="A101" s="4" t="s">
        <v>2</v>
      </c>
      <c r="B101" s="4" t="s">
        <v>4</v>
      </c>
      <c r="C101" s="4" t="s">
        <v>5</v>
      </c>
      <c r="D101" s="4" t="s">
        <v>6</v>
      </c>
      <c r="E101" s="4" t="s">
        <v>127</v>
      </c>
      <c r="F101" s="4" t="s">
        <v>9</v>
      </c>
      <c r="G101" s="4" t="s">
        <v>10</v>
      </c>
    </row>
    <row r="102" customFormat="false" ht="13.8" hidden="false" customHeight="false" outlineLevel="0" collapsed="false">
      <c r="A102" s="1" t="s">
        <v>79</v>
      </c>
      <c r="B102" s="1" t="str">
        <f aca="false">IF(  OR(ISNUMBER(SEARCH("SMOTEENN",A102)),ISNUMBER(SEARCH("SMOTETomek",A102))),  "Hybrid",  IF(   AND(    OR(ISNUMBER(SEARCH("SMOTE",A102)),ISNUMBER(SEARCH("SVMSMOTE",A102)),ISNUMBER(SEARCH("RandomOverSampler",A102)),ISNUMBER(SEARCH("BorderlineSmote",A102))),    OR(ISNUMBER(SEARCH("RandomUnderSampler",A102)),ISNUMBER(SEARCH("ClusterCentroids",A102)),ISNUMBER(SEARCH("OneSidedSelection",A102)))   ),   "Over+Under",   IF(    OR(ISNUMBER(SEARCH("SMOTE",A102)),ISNUMBER(SEARCH("SVMSMOTE",A102)),ISNUMBER(SEARCH("RandomOverSampler",A102)),ISNUMBER(SEARCH("BorderlineSmote",A102))),    "Oversampling",    IF(     OR(ISNUMBER(SEARCH("RandomUnderSampler",A102)),ISNUMBER(SEARCH("ClusterCentroids",A102)),ISNUMBER(SEARCH("OneSidedSelection",A102))),     "Undersampler",     "Czysty"    )   )  ) )</f>
        <v>Oversampling</v>
      </c>
      <c r="C102" s="1" t="s">
        <v>14</v>
      </c>
      <c r="D102" s="1" t="n">
        <v>0.7778</v>
      </c>
      <c r="E102" s="1" t="n">
        <v>0.7802</v>
      </c>
      <c r="F102" s="1" t="n">
        <v>0.7838</v>
      </c>
      <c r="G102" s="1" t="n">
        <v>0.7798</v>
      </c>
      <c r="I102" s="1"/>
      <c r="J102" s="1"/>
      <c r="K102" s="1"/>
      <c r="L102" s="1"/>
      <c r="M102" s="1"/>
      <c r="N102" s="1"/>
    </row>
    <row r="103" customFormat="false" ht="13.8" hidden="false" customHeight="false" outlineLevel="0" collapsed="false">
      <c r="A103" s="1" t="s">
        <v>124</v>
      </c>
      <c r="B103" s="1" t="str">
        <f aca="false">IF(  OR(ISNUMBER(SEARCH("SMOTEENN",A103)),ISNUMBER(SEARCH("SMOTETomek",A103))),  "Hybrid",  IF(   AND(    OR(ISNUMBER(SEARCH("SMOTE",A103)),ISNUMBER(SEARCH("SVMSMOTE",A103)),ISNUMBER(SEARCH("RandomOverSampler",A103)),ISNUMBER(SEARCH("BorderlineSmote",A103))),    OR(ISNUMBER(SEARCH("RandomUnderSampler",A103)),ISNUMBER(SEARCH("ClusterCentroids",A103)),ISNUMBER(SEARCH("OneSidedSelection",A103)))   ),   "Over+Under",   IF(    OR(ISNUMBER(SEARCH("SMOTE",A103)),ISNUMBER(SEARCH("SVMSMOTE",A103)),ISNUMBER(SEARCH("RandomOverSampler",A103)),ISNUMBER(SEARCH("BorderlineSmote",A103))),    "Oversampling",    IF(     OR(ISNUMBER(SEARCH("RandomUnderSampler",A103)),ISNUMBER(SEARCH("ClusterCentroids",A103)),ISNUMBER(SEARCH("OneSidedSelection",A103))),     "Undersampler",     "Czysty"    )   )  ) )</f>
        <v>Over+Under</v>
      </c>
      <c r="C103" s="1" t="s">
        <v>14</v>
      </c>
      <c r="D103" s="1" t="n">
        <v>0.7796</v>
      </c>
      <c r="E103" s="1" t="n">
        <v>0.7795</v>
      </c>
      <c r="F103" s="1" t="n">
        <v>0.7847</v>
      </c>
      <c r="G103" s="1" t="n">
        <v>0.7824</v>
      </c>
      <c r="I103" s="1"/>
      <c r="J103" s="1"/>
      <c r="K103" s="1"/>
      <c r="L103" s="1"/>
      <c r="M103" s="1"/>
      <c r="N103" s="1"/>
    </row>
    <row r="104" customFormat="false" ht="13.8" hidden="false" customHeight="false" outlineLevel="0" collapsed="false">
      <c r="A104" s="1" t="s">
        <v>80</v>
      </c>
      <c r="B104" s="1" t="str">
        <f aca="false">IF(  OR(ISNUMBER(SEARCH("SMOTEENN",A104)),ISNUMBER(SEARCH("SMOTETomek",A104))),  "Hybrid",  IF(   AND(    OR(ISNUMBER(SEARCH("SMOTE",A104)),ISNUMBER(SEARCH("SVMSMOTE",A104)),ISNUMBER(SEARCH("RandomOverSampler",A104)),ISNUMBER(SEARCH("BorderlineSmote",A104))),    OR(ISNUMBER(SEARCH("RandomUnderSampler",A104)),ISNUMBER(SEARCH("ClusterCentroids",A104)),ISNUMBER(SEARCH("OneSidedSelection",A104)))   ),   "Over+Under",   IF(    OR(ISNUMBER(SEARCH("SMOTE",A104)),ISNUMBER(SEARCH("SVMSMOTE",A104)),ISNUMBER(SEARCH("RandomOverSampler",A104)),ISNUMBER(SEARCH("BorderlineSmote",A104))),    "Oversampling",    IF(     OR(ISNUMBER(SEARCH("RandomUnderSampler",A104)),ISNUMBER(SEARCH("ClusterCentroids",A104)),ISNUMBER(SEARCH("OneSidedSelection",A104))),     "Undersampler",     "Czysty"    )   )  ) )</f>
        <v>Hybrid</v>
      </c>
      <c r="C104" s="1" t="s">
        <v>14</v>
      </c>
      <c r="D104" s="1" t="n">
        <v>0.7704</v>
      </c>
      <c r="E104" s="1" t="n">
        <v>0.7713</v>
      </c>
      <c r="F104" s="1" t="n">
        <v>0.7815</v>
      </c>
      <c r="G104" s="1" t="n">
        <v>0.7729</v>
      </c>
      <c r="I104" s="1"/>
      <c r="J104" s="1"/>
      <c r="K104" s="1"/>
      <c r="L104" s="1"/>
      <c r="M104" s="1"/>
      <c r="N104" s="1"/>
    </row>
    <row r="105" customFormat="false" ht="13.8" hidden="false" customHeight="false" outlineLevel="0" collapsed="false">
      <c r="A105" s="1" t="s">
        <v>82</v>
      </c>
      <c r="B105" s="1" t="str">
        <f aca="false">IF(  OR(ISNUMBER(SEARCH("SMOTEENN",A105)),ISNUMBER(SEARCH("SMOTETomek",A105))),  "Hybrid",  IF(   AND(    OR(ISNUMBER(SEARCH("SMOTE",A105)),ISNUMBER(SEARCH("SVMSMOTE",A105)),ISNUMBER(SEARCH("RandomOverSampler",A105)),ISNUMBER(SEARCH("BorderlineSmote",A105))),    OR(ISNUMBER(SEARCH("RandomUnderSampler",A105)),ISNUMBER(SEARCH("ClusterCentroids",A105)),ISNUMBER(SEARCH("OneSidedSelection",A105)))   ),   "Over+Under",   IF(    OR(ISNUMBER(SEARCH("SMOTE",A105)),ISNUMBER(SEARCH("SVMSMOTE",A105)),ISNUMBER(SEARCH("RandomOverSampler",A105)),ISNUMBER(SEARCH("BorderlineSmote",A105))),    "Oversampling",    IF(     OR(ISNUMBER(SEARCH("RandomUnderSampler",A105)),ISNUMBER(SEARCH("ClusterCentroids",A105)),ISNUMBER(SEARCH("OneSidedSelection",A105))),     "Undersampler",     "Czysty"    )   )  ) )</f>
        <v>Over+Under</v>
      </c>
      <c r="C105" s="1" t="s">
        <v>14</v>
      </c>
      <c r="D105" s="1" t="n">
        <v>0.7667</v>
      </c>
      <c r="E105" s="1" t="n">
        <v>0.7696</v>
      </c>
      <c r="F105" s="1" t="n">
        <v>0.7736</v>
      </c>
      <c r="G105" s="1" t="n">
        <v>0.7692</v>
      </c>
      <c r="I105" s="1"/>
      <c r="J105" s="1"/>
      <c r="K105" s="1"/>
      <c r="L105" s="1"/>
      <c r="M105" s="1"/>
      <c r="N105" s="1"/>
    </row>
    <row r="106" customFormat="false" ht="13.8" hidden="false" customHeight="false" outlineLevel="0" collapsed="false">
      <c r="A106" s="1" t="s">
        <v>126</v>
      </c>
      <c r="B106" s="1" t="str">
        <f aca="false">IF(  OR(ISNUMBER(SEARCH("SMOTEENN",A106)),ISNUMBER(SEARCH("SMOTETomek",A106))),  "Hybrid",  IF(   AND(    OR(ISNUMBER(SEARCH("SMOTE",A106)),ISNUMBER(SEARCH("SVMSMOTE",A106)),ISNUMBER(SEARCH("RandomOverSampler",A106)),ISNUMBER(SEARCH("BorderlineSmote",A106))),    OR(ISNUMBER(SEARCH("RandomUnderSampler",A106)),ISNUMBER(SEARCH("ClusterCentroids",A106)),ISNUMBER(SEARCH("OneSidedSelection",A106)))   ),   "Over+Under",   IF(    OR(ISNUMBER(SEARCH("SMOTE",A106)),ISNUMBER(SEARCH("SVMSMOTE",A106)),ISNUMBER(SEARCH("RandomOverSampler",A106)),ISNUMBER(SEARCH("BorderlineSmote",A106))),    "Oversampling",    IF(     OR(ISNUMBER(SEARCH("RandomUnderSampler",A106)),ISNUMBER(SEARCH("ClusterCentroids",A106)),ISNUMBER(SEARCH("OneSidedSelection",A106))),     "Undersampler",     "Czysty"    )   )  ) )</f>
        <v>Oversampling</v>
      </c>
      <c r="C106" s="1" t="s">
        <v>14</v>
      </c>
      <c r="D106" s="1" t="n">
        <v>0.7648</v>
      </c>
      <c r="E106" s="1" t="n">
        <v>0.7685</v>
      </c>
      <c r="F106" s="1" t="n">
        <v>0.7725</v>
      </c>
      <c r="G106" s="1" t="n">
        <v>0.7678</v>
      </c>
      <c r="I106" s="1"/>
      <c r="J106" s="1"/>
      <c r="K106" s="1"/>
      <c r="L106" s="1"/>
      <c r="M106" s="1"/>
      <c r="N106" s="1"/>
    </row>
    <row r="107" customFormat="false" ht="13.8" hidden="false" customHeight="false" outlineLevel="0" collapsed="false">
      <c r="A107" s="1" t="s">
        <v>85</v>
      </c>
      <c r="B107" s="1" t="str">
        <f aca="false">IF(  OR(ISNUMBER(SEARCH("SMOTEENN",A107)),ISNUMBER(SEARCH("SMOTETomek",A107))),  "Hybrid",  IF(   AND(    OR(ISNUMBER(SEARCH("SMOTE",A107)),ISNUMBER(SEARCH("SVMSMOTE",A107)),ISNUMBER(SEARCH("RandomOverSampler",A107)),ISNUMBER(SEARCH("BorderlineSmote",A107))),    OR(ISNUMBER(SEARCH("RandomUnderSampler",A107)),ISNUMBER(SEARCH("ClusterCentroids",A107)),ISNUMBER(SEARCH("OneSidedSelection",A107)))   ),   "Over+Under",   IF(    OR(ISNUMBER(SEARCH("SMOTE",A107)),ISNUMBER(SEARCH("SVMSMOTE",A107)),ISNUMBER(SEARCH("RandomOverSampler",A107)),ISNUMBER(SEARCH("BorderlineSmote",A107))),    "Oversampling",    IF(     OR(ISNUMBER(SEARCH("RandomUnderSampler",A107)),ISNUMBER(SEARCH("ClusterCentroids",A107)),ISNUMBER(SEARCH("OneSidedSelection",A107))),     "Undersampler",     "Czysty"    )   )  ) )</f>
        <v>Over+Under</v>
      </c>
      <c r="C107" s="1" t="s">
        <v>14</v>
      </c>
      <c r="D107" s="1" t="n">
        <v>0.7648</v>
      </c>
      <c r="E107" s="1" t="n">
        <v>0.7665</v>
      </c>
      <c r="F107" s="1" t="n">
        <v>0.7735</v>
      </c>
      <c r="G107" s="1" t="n">
        <v>0.7669</v>
      </c>
      <c r="I107" s="1"/>
      <c r="J107" s="1"/>
      <c r="K107" s="1"/>
      <c r="L107" s="1"/>
      <c r="M107" s="1"/>
      <c r="N107" s="1"/>
    </row>
    <row r="108" customFormat="false" ht="13.8" hidden="false" customHeight="false" outlineLevel="0" collapsed="false">
      <c r="A108" s="1" t="s">
        <v>83</v>
      </c>
      <c r="B108" s="1" t="str">
        <f aca="false">IF(  OR(ISNUMBER(SEARCH("SMOTEENN",A108)),ISNUMBER(SEARCH("SMOTETomek",A108))),  "Hybrid",  IF(   AND(    OR(ISNUMBER(SEARCH("SMOTE",A108)),ISNUMBER(SEARCH("SVMSMOTE",A108)),ISNUMBER(SEARCH("RandomOverSampler",A108)),ISNUMBER(SEARCH("BorderlineSmote",A108))),    OR(ISNUMBER(SEARCH("RandomUnderSampler",A108)),ISNUMBER(SEARCH("ClusterCentroids",A108)),ISNUMBER(SEARCH("OneSidedSelection",A108)))   ),   "Over+Under",   IF(    OR(ISNUMBER(SEARCH("SMOTE",A108)),ISNUMBER(SEARCH("SVMSMOTE",A108)),ISNUMBER(SEARCH("RandomOverSampler",A108)),ISNUMBER(SEARCH("BorderlineSmote",A108))),    "Oversampling",    IF(     OR(ISNUMBER(SEARCH("RandomUnderSampler",A108)),ISNUMBER(SEARCH("ClusterCentroids",A108)),ISNUMBER(SEARCH("OneSidedSelection",A108))),     "Undersampler",     "Czysty"    )   )  ) )</f>
        <v>Over+Under</v>
      </c>
      <c r="C108" s="1" t="s">
        <v>14</v>
      </c>
      <c r="D108" s="1" t="n">
        <v>0.7611</v>
      </c>
      <c r="E108" s="1" t="n">
        <v>0.7645</v>
      </c>
      <c r="F108" s="1" t="n">
        <v>0.7696</v>
      </c>
      <c r="G108" s="1" t="n">
        <v>0.7649</v>
      </c>
      <c r="I108" s="1"/>
      <c r="J108" s="1"/>
      <c r="K108" s="1"/>
      <c r="L108" s="1"/>
      <c r="M108" s="1"/>
      <c r="N108" s="1"/>
    </row>
    <row r="109" customFormat="false" ht="13.8" hidden="false" customHeight="false" outlineLevel="0" collapsed="false">
      <c r="A109" s="1" t="s">
        <v>26</v>
      </c>
      <c r="B109" s="1" t="str">
        <f aca="false">IF(  OR(ISNUMBER(SEARCH("SMOTEENN",A109)),ISNUMBER(SEARCH("SMOTETomek",A109))),  "Hybrid",  IF(   AND(    OR(ISNUMBER(SEARCH("SMOTE",A109)),ISNUMBER(SEARCH("SVMSMOTE",A109)),ISNUMBER(SEARCH("RandomOverSampler",A109)),ISNUMBER(SEARCH("BorderlineSmote",A109))),    OR(ISNUMBER(SEARCH("RandomUnderSampler",A109)),ISNUMBER(SEARCH("ClusterCentroids",A109)),ISNUMBER(SEARCH("OneSidedSelection",A109)))   ),   "Over+Under",   IF(    OR(ISNUMBER(SEARCH("SMOTE",A109)),ISNUMBER(SEARCH("SVMSMOTE",A109)),ISNUMBER(SEARCH("RandomOverSampler",A109)),ISNUMBER(SEARCH("BorderlineSmote",A109))),    "Oversampling",    IF(     OR(ISNUMBER(SEARCH("RandomUnderSampler",A109)),ISNUMBER(SEARCH("ClusterCentroids",A109)),ISNUMBER(SEARCH("OneSidedSelection",A109))),     "Undersampler",     "Czysty"    )   )  ) )</f>
        <v>Czysty</v>
      </c>
      <c r="C109" s="1" t="s">
        <v>14</v>
      </c>
      <c r="D109" s="1" t="n">
        <v>0.7648</v>
      </c>
      <c r="E109" s="1" t="n">
        <v>0.7641</v>
      </c>
      <c r="F109" s="1" t="n">
        <v>0.7756</v>
      </c>
      <c r="G109" s="1" t="n">
        <v>0.7662</v>
      </c>
      <c r="I109" s="1"/>
      <c r="J109" s="1"/>
      <c r="K109" s="1"/>
      <c r="L109" s="1"/>
      <c r="M109" s="1"/>
      <c r="N109" s="1"/>
    </row>
    <row r="110" customFormat="false" ht="13.8" hidden="false" customHeight="false" outlineLevel="0" collapsed="false">
      <c r="A110" s="1" t="s">
        <v>81</v>
      </c>
      <c r="B110" s="1" t="str">
        <f aca="false">IF(  OR(ISNUMBER(SEARCH("SMOTEENN",A110)),ISNUMBER(SEARCH("SMOTETomek",A110))),  "Hybrid",  IF(   AND(    OR(ISNUMBER(SEARCH("SMOTE",A110)),ISNUMBER(SEARCH("SVMSMOTE",A110)),ISNUMBER(SEARCH("RandomOverSampler",A110)),ISNUMBER(SEARCH("BorderlineSmote",A110))),    OR(ISNUMBER(SEARCH("RandomUnderSampler",A110)),ISNUMBER(SEARCH("ClusterCentroids",A110)),ISNUMBER(SEARCH("OneSidedSelection",A110)))   ),   "Over+Under",   IF(    OR(ISNUMBER(SEARCH("SMOTE",A110)),ISNUMBER(SEARCH("SVMSMOTE",A110)),ISNUMBER(SEARCH("RandomOverSampler",A110)),ISNUMBER(SEARCH("BorderlineSmote",A110))),    "Oversampling",    IF(     OR(ISNUMBER(SEARCH("RandomUnderSampler",A110)),ISNUMBER(SEARCH("ClusterCentroids",A110)),ISNUMBER(SEARCH("OneSidedSelection",A110))),     "Undersampler",     "Czysty"    )   )  ) )</f>
        <v>Oversampling</v>
      </c>
      <c r="C110" s="1" t="s">
        <v>14</v>
      </c>
      <c r="D110" s="1" t="n">
        <v>0.7593</v>
      </c>
      <c r="E110" s="1" t="n">
        <v>0.7613</v>
      </c>
      <c r="F110" s="1" t="n">
        <v>0.7694</v>
      </c>
      <c r="G110" s="1" t="n">
        <v>0.7632</v>
      </c>
      <c r="I110" s="1"/>
      <c r="J110" s="1"/>
      <c r="K110" s="1"/>
      <c r="L110" s="1"/>
      <c r="M110" s="1"/>
      <c r="N110" s="1"/>
    </row>
    <row r="111" customFormat="false" ht="13.8" hidden="false" customHeight="false" outlineLevel="0" collapsed="false">
      <c r="A111" s="1" t="s">
        <v>86</v>
      </c>
      <c r="B111" s="1" t="str">
        <f aca="false">IF(  OR(ISNUMBER(SEARCH("SMOTEENN",A111)),ISNUMBER(SEARCH("SMOTETomek",A111))),  "Hybrid",  IF(   AND(    OR(ISNUMBER(SEARCH("SMOTE",A111)),ISNUMBER(SEARCH("SVMSMOTE",A111)),ISNUMBER(SEARCH("RandomOverSampler",A111)),ISNUMBER(SEARCH("BorderlineSmote",A111))),    OR(ISNUMBER(SEARCH("RandomUnderSampler",A111)),ISNUMBER(SEARCH("ClusterCentroids",A111)),ISNUMBER(SEARCH("OneSidedSelection",A111)))   ),   "Over+Under",   IF(    OR(ISNUMBER(SEARCH("SMOTE",A111)),ISNUMBER(SEARCH("SVMSMOTE",A111)),ISNUMBER(SEARCH("RandomOverSampler",A111)),ISNUMBER(SEARCH("BorderlineSmote",A111))),    "Oversampling",    IF(     OR(ISNUMBER(SEARCH("RandomUnderSampler",A111)),ISNUMBER(SEARCH("ClusterCentroids",A111)),ISNUMBER(SEARCH("OneSidedSelection",A111))),     "Undersampler",     "Czysty"    )   )  ) )</f>
        <v>Over+Under</v>
      </c>
      <c r="C111" s="1" t="s">
        <v>14</v>
      </c>
      <c r="D111" s="1" t="n">
        <v>0.7537</v>
      </c>
      <c r="E111" s="1" t="n">
        <v>0.7569</v>
      </c>
      <c r="F111" s="1" t="n">
        <v>0.765</v>
      </c>
      <c r="G111" s="1" t="n">
        <v>0.759</v>
      </c>
      <c r="I111" s="1"/>
      <c r="J111" s="1"/>
      <c r="K111" s="1"/>
      <c r="L111" s="1"/>
      <c r="M111" s="1"/>
      <c r="N111" s="1"/>
    </row>
    <row r="112" customFormat="false" ht="13.8" hidden="false" customHeight="false" outlineLevel="0" collapsed="false">
      <c r="A112" s="1" t="s">
        <v>123</v>
      </c>
      <c r="B112" s="1" t="str">
        <f aca="false">IF(  OR(ISNUMBER(SEARCH("SMOTEENN",A112)),ISNUMBER(SEARCH("SMOTETomek",A112))),  "Hybrid",  IF(   AND(    OR(ISNUMBER(SEARCH("SMOTE",A112)),ISNUMBER(SEARCH("SVMSMOTE",A112)),ISNUMBER(SEARCH("RandomOverSampler",A112)),ISNUMBER(SEARCH("BorderlineSmote",A112))),    OR(ISNUMBER(SEARCH("RandomUnderSampler",A112)),ISNUMBER(SEARCH("ClusterCentroids",A112)),ISNUMBER(SEARCH("OneSidedSelection",A112)))   ),   "Over+Under",   IF(    OR(ISNUMBER(SEARCH("SMOTE",A112)),ISNUMBER(SEARCH("SVMSMOTE",A112)),ISNUMBER(SEARCH("RandomOverSampler",A112)),ISNUMBER(SEARCH("BorderlineSmote",A112))),    "Oversampling",    IF(     OR(ISNUMBER(SEARCH("RandomUnderSampler",A112)),ISNUMBER(SEARCH("ClusterCentroids",A112)),ISNUMBER(SEARCH("OneSidedSelection",A112))),     "Undersampler",     "Czysty"    )   )  ) )</f>
        <v>Oversampling</v>
      </c>
      <c r="C112" s="1" t="s">
        <v>14</v>
      </c>
      <c r="D112" s="1" t="n">
        <v>0.7574</v>
      </c>
      <c r="E112" s="1" t="n">
        <v>0.7532</v>
      </c>
      <c r="F112" s="1" t="n">
        <v>0.7692</v>
      </c>
      <c r="G112" s="1" t="n">
        <v>0.7584</v>
      </c>
      <c r="I112" s="1"/>
      <c r="J112" s="1"/>
      <c r="K112" s="1"/>
      <c r="L112" s="1"/>
      <c r="M112" s="1"/>
      <c r="N112" s="1"/>
    </row>
    <row r="113" customFormat="false" ht="13.8" hidden="false" customHeight="false" outlineLevel="0" collapsed="false">
      <c r="A113" s="1" t="s">
        <v>125</v>
      </c>
      <c r="B113" s="1" t="str">
        <f aca="false">IF(  OR(ISNUMBER(SEARCH("SMOTEENN",A113)),ISNUMBER(SEARCH("SMOTETomek",A113))),  "Hybrid",  IF(   AND(    OR(ISNUMBER(SEARCH("SMOTE",A113)),ISNUMBER(SEARCH("SVMSMOTE",A113)),ISNUMBER(SEARCH("RandomOverSampler",A113)),ISNUMBER(SEARCH("BorderlineSmote",A113))),    OR(ISNUMBER(SEARCH("RandomUnderSampler",A113)),ISNUMBER(SEARCH("ClusterCentroids",A113)),ISNUMBER(SEARCH("OneSidedSelection",A113)))   ),   "Over+Under",   IF(    OR(ISNUMBER(SEARCH("SMOTE",A113)),ISNUMBER(SEARCH("SVMSMOTE",A113)),ISNUMBER(SEARCH("RandomOverSampler",A113)),ISNUMBER(SEARCH("BorderlineSmote",A113))),    "Oversampling",    IF(     OR(ISNUMBER(SEARCH("RandomUnderSampler",A113)),ISNUMBER(SEARCH("ClusterCentroids",A113)),ISNUMBER(SEARCH("OneSidedSelection",A113))),     "Undersampler",     "Czysty"    )   )  ) )</f>
        <v>Over+Under</v>
      </c>
      <c r="C113" s="1" t="s">
        <v>14</v>
      </c>
      <c r="D113" s="1" t="n">
        <v>0.737</v>
      </c>
      <c r="E113" s="1" t="n">
        <v>0.7399</v>
      </c>
      <c r="F113" s="1" t="n">
        <v>0.7501</v>
      </c>
      <c r="G113" s="1" t="n">
        <v>0.7411</v>
      </c>
      <c r="I113" s="1"/>
      <c r="J113" s="1"/>
      <c r="K113" s="1"/>
      <c r="L113" s="1"/>
      <c r="M113" s="1"/>
      <c r="N113" s="1"/>
    </row>
    <row r="114" customFormat="false" ht="13.8" hidden="false" customHeight="false" outlineLevel="0" collapsed="false">
      <c r="A114" s="1" t="s">
        <v>84</v>
      </c>
      <c r="B114" s="1" t="str">
        <f aca="false">IF(  OR(ISNUMBER(SEARCH("SMOTEENN",A114)),ISNUMBER(SEARCH("SMOTETomek",A114))),  "Hybrid",  IF(   AND(    OR(ISNUMBER(SEARCH("SMOTE",A114)),ISNUMBER(SEARCH("SVMSMOTE",A114)),ISNUMBER(SEARCH("RandomOverSampler",A114)),ISNUMBER(SEARCH("BorderlineSmote",A114))),    OR(ISNUMBER(SEARCH("RandomUnderSampler",A114)),ISNUMBER(SEARCH("ClusterCentroids",A114)),ISNUMBER(SEARCH("OneSidedSelection",A114)))   ),   "Over+Under",   IF(    OR(ISNUMBER(SEARCH("SMOTE",A114)),ISNUMBER(SEARCH("SVMSMOTE",A114)),ISNUMBER(SEARCH("RandomOverSampler",A114)),ISNUMBER(SEARCH("BorderlineSmote",A114))),    "Oversampling",    IF(     OR(ISNUMBER(SEARCH("RandomUnderSampler",A114)),ISNUMBER(SEARCH("ClusterCentroids",A114)),ISNUMBER(SEARCH("OneSidedSelection",A114))),     "Undersampler",     "Czysty"    )   )  ) )</f>
        <v>Over+Under</v>
      </c>
      <c r="C114" s="1" t="s">
        <v>14</v>
      </c>
      <c r="D114" s="1" t="n">
        <v>0.6741</v>
      </c>
      <c r="E114" s="1" t="n">
        <v>0.5596</v>
      </c>
      <c r="F114" s="1" t="n">
        <v>0.5546</v>
      </c>
      <c r="G114" s="1" t="n">
        <v>0.6628</v>
      </c>
      <c r="I114" s="1"/>
      <c r="J114" s="1"/>
      <c r="K114" s="1"/>
      <c r="L114" s="1"/>
      <c r="M114" s="1"/>
      <c r="N114" s="1"/>
    </row>
    <row r="115" customFormat="false" ht="13.8" hidden="false" customHeight="false" outlineLevel="0" collapsed="false">
      <c r="A115" s="1" t="s">
        <v>88</v>
      </c>
      <c r="B115" s="1" t="str">
        <f aca="false">IF(  OR(ISNUMBER(SEARCH("SMOTEENN",A115)),ISNUMBER(SEARCH("SMOTETomek",A115))),  "Hybrid",  IF(   AND(    OR(ISNUMBER(SEARCH("SMOTE",A115)),ISNUMBER(SEARCH("SVMSMOTE",A115)),ISNUMBER(SEARCH("RandomOverSampler",A115)),ISNUMBER(SEARCH("BorderlineSmote",A115))),    OR(ISNUMBER(SEARCH("RandomUnderSampler",A115)),ISNUMBER(SEARCH("ClusterCentroids",A115)),ISNUMBER(SEARCH("OneSidedSelection",A115)))   ),   "Over+Under",   IF(    OR(ISNUMBER(SEARCH("SMOTE",A115)),ISNUMBER(SEARCH("SVMSMOTE",A115)),ISNUMBER(SEARCH("RandomOverSampler",A115)),ISNUMBER(SEARCH("BorderlineSmote",A115))),    "Oversampling",    IF(     OR(ISNUMBER(SEARCH("RandomUnderSampler",A115)),ISNUMBER(SEARCH("ClusterCentroids",A115)),ISNUMBER(SEARCH("OneSidedSelection",A115))),     "Undersampler",     "Czysty"    )   )  ) )</f>
        <v>Over+Under</v>
      </c>
      <c r="C115" s="1" t="s">
        <v>14</v>
      </c>
      <c r="D115" s="1" t="n">
        <v>0.6778</v>
      </c>
      <c r="E115" s="1" t="n">
        <v>0.5586</v>
      </c>
      <c r="F115" s="1" t="n">
        <v>0.4975</v>
      </c>
      <c r="G115" s="1" t="n">
        <v>0.6667</v>
      </c>
      <c r="I115" s="1"/>
      <c r="J115" s="1"/>
      <c r="K115" s="1"/>
      <c r="L115" s="1"/>
      <c r="M115" s="1"/>
      <c r="N115" s="1"/>
    </row>
    <row r="116" customFormat="false" ht="13.8" hidden="false" customHeight="false" outlineLevel="0" collapsed="false">
      <c r="A116" s="1" t="s">
        <v>87</v>
      </c>
      <c r="B116" s="1" t="str">
        <f aca="false">IF(  OR(ISNUMBER(SEARCH("SMOTEENN",A116)),ISNUMBER(SEARCH("SMOTETomek",A116))),  "Hybrid",  IF(   AND(    OR(ISNUMBER(SEARCH("SMOTE",A116)),ISNUMBER(SEARCH("SVMSMOTE",A116)),ISNUMBER(SEARCH("RandomOverSampler",A116)),ISNUMBER(SEARCH("BorderlineSmote",A116))),    OR(ISNUMBER(SEARCH("RandomUnderSampler",A116)),ISNUMBER(SEARCH("ClusterCentroids",A116)),ISNUMBER(SEARCH("OneSidedSelection",A116)))   ),   "Over+Under",   IF(    OR(ISNUMBER(SEARCH("SMOTE",A116)),ISNUMBER(SEARCH("SVMSMOTE",A116)),ISNUMBER(SEARCH("RandomOverSampler",A116)),ISNUMBER(SEARCH("BorderlineSmote",A116))),    "Oversampling",    IF(     OR(ISNUMBER(SEARCH("RandomUnderSampler",A116)),ISNUMBER(SEARCH("ClusterCentroids",A116)),ISNUMBER(SEARCH("OneSidedSelection",A116))),     "Undersampler",     "Czysty"    )   )  ) )</f>
        <v>Hybrid</v>
      </c>
      <c r="C116" s="1" t="s">
        <v>14</v>
      </c>
      <c r="D116" s="1" t="n">
        <v>0.6259</v>
      </c>
      <c r="E116" s="1" t="n">
        <v>0.5396</v>
      </c>
      <c r="F116" s="1" t="n">
        <v>0.4917</v>
      </c>
      <c r="G116" s="1" t="n">
        <v>0.6428</v>
      </c>
      <c r="I116" s="1"/>
      <c r="J116" s="1"/>
      <c r="K116" s="1"/>
      <c r="L116" s="1"/>
      <c r="M116" s="1"/>
      <c r="N116" s="1"/>
    </row>
    <row r="117" customFormat="false" ht="13.8" hidden="false" customHeight="false" outlineLevel="0" collapsed="false">
      <c r="A117" s="1" t="s">
        <v>123</v>
      </c>
      <c r="B117" s="1" t="str">
        <f aca="false">IF(  OR(ISNUMBER(SEARCH("SMOTEENN",A117)),ISNUMBER(SEARCH("SMOTETomek",A117))),  "Hybrid",  IF(   AND(    OR(ISNUMBER(SEARCH("SMOTE",A117)),ISNUMBER(SEARCH("SVMSMOTE",A117)),ISNUMBER(SEARCH("RandomOverSampler",A117)),ISNUMBER(SEARCH("BorderlineSmote",A117))),    OR(ISNUMBER(SEARCH("RandomUnderSampler",A117)),ISNUMBER(SEARCH("ClusterCentroids",A117)),ISNUMBER(SEARCH("OneSidedSelection",A117)))   ),   "Over+Under",   IF(    OR(ISNUMBER(SEARCH("SMOTE",A117)),ISNUMBER(SEARCH("SVMSMOTE",A117)),ISNUMBER(SEARCH("RandomOverSampler",A117)),ISNUMBER(SEARCH("BorderlineSmote",A117))),    "Oversampling",    IF(     OR(ISNUMBER(SEARCH("RandomUnderSampler",A117)),ISNUMBER(SEARCH("ClusterCentroids",A117)),ISNUMBER(SEARCH("OneSidedSelection",A117))),     "Undersampler",     "Czysty"    )   )  ) )</f>
        <v>Oversampling</v>
      </c>
      <c r="C117" s="1" t="s">
        <v>74</v>
      </c>
      <c r="D117" s="1" t="n">
        <v>0.7833</v>
      </c>
      <c r="E117" s="1" t="n">
        <v>0.7833</v>
      </c>
      <c r="F117" s="1" t="n">
        <v>0.7902</v>
      </c>
      <c r="G117" s="1" t="n">
        <v>0.7854</v>
      </c>
      <c r="I117" s="1"/>
      <c r="J117" s="1"/>
      <c r="K117" s="1"/>
      <c r="L117" s="1"/>
      <c r="M117" s="1"/>
      <c r="N117" s="1"/>
    </row>
    <row r="118" customFormat="false" ht="13.8" hidden="false" customHeight="false" outlineLevel="0" collapsed="false">
      <c r="A118" s="1" t="s">
        <v>85</v>
      </c>
      <c r="B118" s="1" t="str">
        <f aca="false">IF(  OR(ISNUMBER(SEARCH("SMOTEENN",A118)),ISNUMBER(SEARCH("SMOTETomek",A118))),  "Hybrid",  IF(   AND(    OR(ISNUMBER(SEARCH("SMOTE",A118)),ISNUMBER(SEARCH("SVMSMOTE",A118)),ISNUMBER(SEARCH("RandomOverSampler",A118)),ISNUMBER(SEARCH("BorderlineSmote",A118))),    OR(ISNUMBER(SEARCH("RandomUnderSampler",A118)),ISNUMBER(SEARCH("ClusterCentroids",A118)),ISNUMBER(SEARCH("OneSidedSelection",A118)))   ),   "Over+Under",   IF(    OR(ISNUMBER(SEARCH("SMOTE",A118)),ISNUMBER(SEARCH("SVMSMOTE",A118)),ISNUMBER(SEARCH("RandomOverSampler",A118)),ISNUMBER(SEARCH("BorderlineSmote",A118))),    "Oversampling",    IF(     OR(ISNUMBER(SEARCH("RandomUnderSampler",A118)),ISNUMBER(SEARCH("ClusterCentroids",A118)),ISNUMBER(SEARCH("OneSidedSelection",A118))),     "Undersampler",     "Czysty"    )   )  ) )</f>
        <v>Over+Under</v>
      </c>
      <c r="C118" s="1" t="s">
        <v>74</v>
      </c>
      <c r="D118" s="1" t="n">
        <v>0.7815</v>
      </c>
      <c r="E118" s="1" t="n">
        <v>0.7831</v>
      </c>
      <c r="F118" s="1" t="n">
        <v>0.7881</v>
      </c>
      <c r="G118" s="1" t="n">
        <v>0.7836</v>
      </c>
      <c r="I118" s="1"/>
      <c r="J118" s="1"/>
      <c r="K118" s="1"/>
      <c r="L118" s="1"/>
      <c r="M118" s="1"/>
      <c r="N118" s="1"/>
    </row>
    <row r="119" customFormat="false" ht="13.8" hidden="false" customHeight="false" outlineLevel="0" collapsed="false">
      <c r="A119" s="1" t="s">
        <v>124</v>
      </c>
      <c r="B119" s="1" t="str">
        <f aca="false">IF(  OR(ISNUMBER(SEARCH("SMOTEENN",A119)),ISNUMBER(SEARCH("SMOTETomek",A119))),  "Hybrid",  IF(   AND(    OR(ISNUMBER(SEARCH("SMOTE",A119)),ISNUMBER(SEARCH("SVMSMOTE",A119)),ISNUMBER(SEARCH("RandomOverSampler",A119)),ISNUMBER(SEARCH("BorderlineSmote",A119))),    OR(ISNUMBER(SEARCH("RandomUnderSampler",A119)),ISNUMBER(SEARCH("ClusterCentroids",A119)),ISNUMBER(SEARCH("OneSidedSelection",A119)))   ),   "Over+Under",   IF(    OR(ISNUMBER(SEARCH("SMOTE",A119)),ISNUMBER(SEARCH("SVMSMOTE",A119)),ISNUMBER(SEARCH("RandomOverSampler",A119)),ISNUMBER(SEARCH("BorderlineSmote",A119))),    "Oversampling",    IF(     OR(ISNUMBER(SEARCH("RandomUnderSampler",A119)),ISNUMBER(SEARCH("ClusterCentroids",A119)),ISNUMBER(SEARCH("OneSidedSelection",A119))),     "Undersampler",     "Czysty"    )   )  ) )</f>
        <v>Over+Under</v>
      </c>
      <c r="C119" s="1" t="s">
        <v>74</v>
      </c>
      <c r="D119" s="1" t="n">
        <v>0.7667</v>
      </c>
      <c r="E119" s="1" t="n">
        <v>0.7696</v>
      </c>
      <c r="F119" s="1" t="n">
        <v>0.7809</v>
      </c>
      <c r="G119" s="1" t="n">
        <v>0.7719</v>
      </c>
      <c r="I119" s="1"/>
      <c r="J119" s="1"/>
      <c r="K119" s="1"/>
      <c r="L119" s="1"/>
      <c r="M119" s="1"/>
      <c r="N119" s="1"/>
    </row>
    <row r="120" customFormat="false" ht="13.8" hidden="false" customHeight="false" outlineLevel="0" collapsed="false">
      <c r="A120" s="1" t="s">
        <v>26</v>
      </c>
      <c r="B120" s="1" t="str">
        <f aca="false">IF(  OR(ISNUMBER(SEARCH("SMOTEENN",A120)),ISNUMBER(SEARCH("SMOTETomek",A120))),  "Hybrid",  IF(   AND(    OR(ISNUMBER(SEARCH("SMOTE",A120)),ISNUMBER(SEARCH("SVMSMOTE",A120)),ISNUMBER(SEARCH("RandomOverSampler",A120)),ISNUMBER(SEARCH("BorderlineSmote",A120))),    OR(ISNUMBER(SEARCH("RandomUnderSampler",A120)),ISNUMBER(SEARCH("ClusterCentroids",A120)),ISNUMBER(SEARCH("OneSidedSelection",A120)))   ),   "Over+Under",   IF(    OR(ISNUMBER(SEARCH("SMOTE",A120)),ISNUMBER(SEARCH("SVMSMOTE",A120)),ISNUMBER(SEARCH("RandomOverSampler",A120)),ISNUMBER(SEARCH("BorderlineSmote",A120))),    "Oversampling",    IF(     OR(ISNUMBER(SEARCH("RandomUnderSampler",A120)),ISNUMBER(SEARCH("ClusterCentroids",A120)),ISNUMBER(SEARCH("OneSidedSelection",A120))),     "Undersampler",     "Czysty"    )   )  ) )</f>
        <v>Czysty</v>
      </c>
      <c r="C120" s="1" t="s">
        <v>74</v>
      </c>
      <c r="D120" s="1" t="n">
        <v>0.763</v>
      </c>
      <c r="E120" s="1" t="n">
        <v>0.762</v>
      </c>
      <c r="F120" s="1" t="n">
        <v>0.7711</v>
      </c>
      <c r="G120" s="1" t="n">
        <v>0.7627</v>
      </c>
      <c r="I120" s="1"/>
      <c r="J120" s="1"/>
      <c r="K120" s="1"/>
      <c r="L120" s="1"/>
      <c r="M120" s="1"/>
      <c r="N120" s="1"/>
    </row>
    <row r="121" customFormat="false" ht="13.8" hidden="false" customHeight="false" outlineLevel="0" collapsed="false">
      <c r="A121" s="1" t="s">
        <v>80</v>
      </c>
      <c r="B121" s="1" t="str">
        <f aca="false">IF(  OR(ISNUMBER(SEARCH("SMOTEENN",A121)),ISNUMBER(SEARCH("SMOTETomek",A121))),  "Hybrid",  IF(   AND(    OR(ISNUMBER(SEARCH("SMOTE",A121)),ISNUMBER(SEARCH("SVMSMOTE",A121)),ISNUMBER(SEARCH("RandomOverSampler",A121)),ISNUMBER(SEARCH("BorderlineSmote",A121))),    OR(ISNUMBER(SEARCH("RandomUnderSampler",A121)),ISNUMBER(SEARCH("ClusterCentroids",A121)),ISNUMBER(SEARCH("OneSidedSelection",A121)))   ),   "Over+Under",   IF(    OR(ISNUMBER(SEARCH("SMOTE",A121)),ISNUMBER(SEARCH("SVMSMOTE",A121)),ISNUMBER(SEARCH("RandomOverSampler",A121)),ISNUMBER(SEARCH("BorderlineSmote",A121))),    "Oversampling",    IF(     OR(ISNUMBER(SEARCH("RandomUnderSampler",A121)),ISNUMBER(SEARCH("ClusterCentroids",A121)),ISNUMBER(SEARCH("OneSidedSelection",A121))),     "Undersampler",     "Czysty"    )   )  ) )</f>
        <v>Hybrid</v>
      </c>
      <c r="C121" s="1" t="s">
        <v>74</v>
      </c>
      <c r="D121" s="1" t="n">
        <v>0.7593</v>
      </c>
      <c r="E121" s="1" t="n">
        <v>0.7612</v>
      </c>
      <c r="F121" s="1" t="n">
        <v>0.7648</v>
      </c>
      <c r="G121" s="1" t="n">
        <v>0.7619</v>
      </c>
      <c r="I121" s="1"/>
      <c r="J121" s="1"/>
      <c r="K121" s="1"/>
      <c r="L121" s="1"/>
      <c r="M121" s="1"/>
      <c r="N121" s="1"/>
    </row>
    <row r="122" customFormat="false" ht="13.8" hidden="false" customHeight="false" outlineLevel="0" collapsed="false">
      <c r="A122" s="1" t="s">
        <v>81</v>
      </c>
      <c r="B122" s="1" t="str">
        <f aca="false">IF(  OR(ISNUMBER(SEARCH("SMOTEENN",A122)),ISNUMBER(SEARCH("SMOTETomek",A122))),  "Hybrid",  IF(   AND(    OR(ISNUMBER(SEARCH("SMOTE",A122)),ISNUMBER(SEARCH("SVMSMOTE",A122)),ISNUMBER(SEARCH("RandomOverSampler",A122)),ISNUMBER(SEARCH("BorderlineSmote",A122))),    OR(ISNUMBER(SEARCH("RandomUnderSampler",A122)),ISNUMBER(SEARCH("ClusterCentroids",A122)),ISNUMBER(SEARCH("OneSidedSelection",A122)))   ),   "Over+Under",   IF(    OR(ISNUMBER(SEARCH("SMOTE",A122)),ISNUMBER(SEARCH("SVMSMOTE",A122)),ISNUMBER(SEARCH("RandomOverSampler",A122)),ISNUMBER(SEARCH("BorderlineSmote",A122))),    "Oversampling",    IF(     OR(ISNUMBER(SEARCH("RandomUnderSampler",A122)),ISNUMBER(SEARCH("ClusterCentroids",A122)),ISNUMBER(SEARCH("OneSidedSelection",A122))),     "Undersampler",     "Czysty"    )   )  ) )</f>
        <v>Oversampling</v>
      </c>
      <c r="C122" s="1" t="s">
        <v>74</v>
      </c>
      <c r="D122" s="1" t="n">
        <v>0.75</v>
      </c>
      <c r="E122" s="1" t="n">
        <v>0.7533</v>
      </c>
      <c r="F122" s="1" t="n">
        <v>0.7609</v>
      </c>
      <c r="G122" s="1" t="n">
        <v>0.7529</v>
      </c>
      <c r="I122" s="1"/>
      <c r="J122" s="1"/>
      <c r="K122" s="1"/>
      <c r="L122" s="1"/>
      <c r="M122" s="1"/>
      <c r="N122" s="1"/>
    </row>
    <row r="123" customFormat="false" ht="13.8" hidden="false" customHeight="false" outlineLevel="0" collapsed="false">
      <c r="A123" s="1" t="s">
        <v>82</v>
      </c>
      <c r="B123" s="1" t="str">
        <f aca="false">IF(  OR(ISNUMBER(SEARCH("SMOTEENN",A123)),ISNUMBER(SEARCH("SMOTETomek",A123))),  "Hybrid",  IF(   AND(    OR(ISNUMBER(SEARCH("SMOTE",A123)),ISNUMBER(SEARCH("SVMSMOTE",A123)),ISNUMBER(SEARCH("RandomOverSampler",A123)),ISNUMBER(SEARCH("BorderlineSmote",A123))),    OR(ISNUMBER(SEARCH("RandomUnderSampler",A123)),ISNUMBER(SEARCH("ClusterCentroids",A123)),ISNUMBER(SEARCH("OneSidedSelection",A123)))   ),   "Over+Under",   IF(    OR(ISNUMBER(SEARCH("SMOTE",A123)),ISNUMBER(SEARCH("SVMSMOTE",A123)),ISNUMBER(SEARCH("RandomOverSampler",A123)),ISNUMBER(SEARCH("BorderlineSmote",A123))),    "Oversampling",    IF(     OR(ISNUMBER(SEARCH("RandomUnderSampler",A123)),ISNUMBER(SEARCH("ClusterCentroids",A123)),ISNUMBER(SEARCH("OneSidedSelection",A123))),     "Undersampler",     "Czysty"    )   )  ) )</f>
        <v>Over+Under</v>
      </c>
      <c r="C123" s="1" t="s">
        <v>74</v>
      </c>
      <c r="D123" s="1" t="n">
        <v>0.7463</v>
      </c>
      <c r="E123" s="1" t="n">
        <v>0.7492</v>
      </c>
      <c r="F123" s="1" t="n">
        <v>0.7558</v>
      </c>
      <c r="G123" s="1" t="n">
        <v>0.7487</v>
      </c>
      <c r="I123" s="1"/>
      <c r="J123" s="1"/>
      <c r="K123" s="1"/>
      <c r="L123" s="1"/>
      <c r="M123" s="1"/>
      <c r="N123" s="1"/>
    </row>
    <row r="124" customFormat="false" ht="13.8" hidden="false" customHeight="false" outlineLevel="0" collapsed="false">
      <c r="A124" s="1" t="s">
        <v>79</v>
      </c>
      <c r="B124" s="1" t="str">
        <f aca="false">IF(  OR(ISNUMBER(SEARCH("SMOTEENN",A124)),ISNUMBER(SEARCH("SMOTETomek",A124))),  "Hybrid",  IF(   AND(    OR(ISNUMBER(SEARCH("SMOTE",A124)),ISNUMBER(SEARCH("SVMSMOTE",A124)),ISNUMBER(SEARCH("RandomOverSampler",A124)),ISNUMBER(SEARCH("BorderlineSmote",A124))),    OR(ISNUMBER(SEARCH("RandomUnderSampler",A124)),ISNUMBER(SEARCH("ClusterCentroids",A124)),ISNUMBER(SEARCH("OneSidedSelection",A124)))   ),   "Over+Under",   IF(    OR(ISNUMBER(SEARCH("SMOTE",A124)),ISNUMBER(SEARCH("SVMSMOTE",A124)),ISNUMBER(SEARCH("RandomOverSampler",A124)),ISNUMBER(SEARCH("BorderlineSmote",A124))),    "Oversampling",    IF(     OR(ISNUMBER(SEARCH("RandomUnderSampler",A124)),ISNUMBER(SEARCH("ClusterCentroids",A124)),ISNUMBER(SEARCH("OneSidedSelection",A124))),     "Undersampler",     "Czysty"    )   )  ) )</f>
        <v>Oversampling</v>
      </c>
      <c r="C124" s="1" t="s">
        <v>74</v>
      </c>
      <c r="D124" s="1" t="n">
        <v>0.7463</v>
      </c>
      <c r="E124" s="1" t="n">
        <v>0.748</v>
      </c>
      <c r="F124" s="1" t="n">
        <v>0.7579</v>
      </c>
      <c r="G124" s="1" t="n">
        <v>0.7501</v>
      </c>
      <c r="I124" s="1"/>
      <c r="J124" s="1"/>
      <c r="K124" s="1"/>
      <c r="L124" s="1"/>
      <c r="M124" s="1"/>
      <c r="N124" s="1"/>
    </row>
    <row r="125" customFormat="false" ht="13.8" hidden="false" customHeight="false" outlineLevel="0" collapsed="false">
      <c r="A125" s="1" t="s">
        <v>126</v>
      </c>
      <c r="B125" s="1" t="str">
        <f aca="false">IF(  OR(ISNUMBER(SEARCH("SMOTEENN",A125)),ISNUMBER(SEARCH("SMOTETomek",A125))),  "Hybrid",  IF(   AND(    OR(ISNUMBER(SEARCH("SMOTE",A125)),ISNUMBER(SEARCH("SVMSMOTE",A125)),ISNUMBER(SEARCH("RandomOverSampler",A125)),ISNUMBER(SEARCH("BorderlineSmote",A125))),    OR(ISNUMBER(SEARCH("RandomUnderSampler",A125)),ISNUMBER(SEARCH("ClusterCentroids",A125)),ISNUMBER(SEARCH("OneSidedSelection",A125)))   ),   "Over+Under",   IF(    OR(ISNUMBER(SEARCH("SMOTE",A125)),ISNUMBER(SEARCH("SVMSMOTE",A125)),ISNUMBER(SEARCH("RandomOverSampler",A125)),ISNUMBER(SEARCH("BorderlineSmote",A125))),    "Oversampling",    IF(     OR(ISNUMBER(SEARCH("RandomUnderSampler",A125)),ISNUMBER(SEARCH("ClusterCentroids",A125)),ISNUMBER(SEARCH("OneSidedSelection",A125))),     "Undersampler",     "Czysty"    )   )  ) )</f>
        <v>Oversampling</v>
      </c>
      <c r="C125" s="1" t="s">
        <v>74</v>
      </c>
      <c r="D125" s="1" t="n">
        <v>0.7426</v>
      </c>
      <c r="E125" s="1" t="n">
        <v>0.7466</v>
      </c>
      <c r="F125" s="1" t="n">
        <v>0.7521</v>
      </c>
      <c r="G125" s="1" t="n">
        <v>0.7463</v>
      </c>
      <c r="I125" s="1"/>
      <c r="J125" s="1"/>
      <c r="K125" s="1"/>
      <c r="L125" s="1"/>
      <c r="M125" s="1"/>
      <c r="N125" s="1"/>
    </row>
    <row r="126" customFormat="false" ht="13.8" hidden="false" customHeight="false" outlineLevel="0" collapsed="false">
      <c r="A126" s="1" t="s">
        <v>83</v>
      </c>
      <c r="B126" s="1" t="str">
        <f aca="false">IF(  OR(ISNUMBER(SEARCH("SMOTEENN",A126)),ISNUMBER(SEARCH("SMOTETomek",A126))),  "Hybrid",  IF(   AND(    OR(ISNUMBER(SEARCH("SMOTE",A126)),ISNUMBER(SEARCH("SVMSMOTE",A126)),ISNUMBER(SEARCH("RandomOverSampler",A126)),ISNUMBER(SEARCH("BorderlineSmote",A126))),    OR(ISNUMBER(SEARCH("RandomUnderSampler",A126)),ISNUMBER(SEARCH("ClusterCentroids",A126)),ISNUMBER(SEARCH("OneSidedSelection",A126)))   ),   "Over+Under",   IF(    OR(ISNUMBER(SEARCH("SMOTE",A126)),ISNUMBER(SEARCH("SVMSMOTE",A126)),ISNUMBER(SEARCH("RandomOverSampler",A126)),ISNUMBER(SEARCH("BorderlineSmote",A126))),    "Oversampling",    IF(     OR(ISNUMBER(SEARCH("RandomUnderSampler",A126)),ISNUMBER(SEARCH("ClusterCentroids",A126)),ISNUMBER(SEARCH("OneSidedSelection",A126))),     "Undersampler",     "Czysty"    )   )  ) )</f>
        <v>Over+Under</v>
      </c>
      <c r="C126" s="1" t="s">
        <v>74</v>
      </c>
      <c r="D126" s="1" t="n">
        <v>0.7389</v>
      </c>
      <c r="E126" s="1" t="n">
        <v>0.7439</v>
      </c>
      <c r="F126" s="1" t="n">
        <v>0.7554</v>
      </c>
      <c r="G126" s="1" t="n">
        <v>0.7434</v>
      </c>
      <c r="I126" s="1"/>
      <c r="J126" s="1"/>
      <c r="K126" s="1"/>
      <c r="L126" s="1"/>
      <c r="M126" s="1"/>
      <c r="N126" s="1"/>
    </row>
    <row r="127" customFormat="false" ht="13.8" hidden="false" customHeight="false" outlineLevel="0" collapsed="false">
      <c r="A127" s="1" t="s">
        <v>86</v>
      </c>
      <c r="B127" s="1" t="str">
        <f aca="false">IF(  OR(ISNUMBER(SEARCH("SMOTEENN",A127)),ISNUMBER(SEARCH("SMOTETomek",A127))),  "Hybrid",  IF(   AND(    OR(ISNUMBER(SEARCH("SMOTE",A127)),ISNUMBER(SEARCH("SVMSMOTE",A127)),ISNUMBER(SEARCH("RandomOverSampler",A127)),ISNUMBER(SEARCH("BorderlineSmote",A127))),    OR(ISNUMBER(SEARCH("RandomUnderSampler",A127)),ISNUMBER(SEARCH("ClusterCentroids",A127)),ISNUMBER(SEARCH("OneSidedSelection",A127)))   ),   "Over+Under",   IF(    OR(ISNUMBER(SEARCH("SMOTE",A127)),ISNUMBER(SEARCH("SVMSMOTE",A127)),ISNUMBER(SEARCH("RandomOverSampler",A127)),ISNUMBER(SEARCH("BorderlineSmote",A127))),    "Oversampling",    IF(     OR(ISNUMBER(SEARCH("RandomUnderSampler",A127)),ISNUMBER(SEARCH("ClusterCentroids",A127)),ISNUMBER(SEARCH("OneSidedSelection",A127))),     "Undersampler",     "Czysty"    )   )  ) )</f>
        <v>Over+Under</v>
      </c>
      <c r="C127" s="1" t="s">
        <v>74</v>
      </c>
      <c r="D127" s="1" t="n">
        <v>0.7333</v>
      </c>
      <c r="E127" s="1" t="n">
        <v>0.7372</v>
      </c>
      <c r="F127" s="1" t="n">
        <v>0.7418</v>
      </c>
      <c r="G127" s="1" t="n">
        <v>0.7355</v>
      </c>
      <c r="I127" s="1"/>
      <c r="J127" s="1"/>
      <c r="K127" s="1"/>
      <c r="L127" s="1"/>
      <c r="M127" s="1"/>
      <c r="N127" s="1"/>
    </row>
    <row r="128" customFormat="false" ht="13.8" hidden="false" customHeight="false" outlineLevel="0" collapsed="false">
      <c r="A128" s="1" t="s">
        <v>125</v>
      </c>
      <c r="B128" s="1" t="str">
        <f aca="false">IF(  OR(ISNUMBER(SEARCH("SMOTEENN",A128)),ISNUMBER(SEARCH("SMOTETomek",A128))),  "Hybrid",  IF(   AND(    OR(ISNUMBER(SEARCH("SMOTE",A128)),ISNUMBER(SEARCH("SVMSMOTE",A128)),ISNUMBER(SEARCH("RandomOverSampler",A128)),ISNUMBER(SEARCH("BorderlineSmote",A128))),    OR(ISNUMBER(SEARCH("RandomUnderSampler",A128)),ISNUMBER(SEARCH("ClusterCentroids",A128)),ISNUMBER(SEARCH("OneSidedSelection",A128)))   ),   "Over+Under",   IF(    OR(ISNUMBER(SEARCH("SMOTE",A128)),ISNUMBER(SEARCH("SVMSMOTE",A128)),ISNUMBER(SEARCH("RandomOverSampler",A128)),ISNUMBER(SEARCH("BorderlineSmote",A128))),    "Oversampling",    IF(     OR(ISNUMBER(SEARCH("RandomUnderSampler",A128)),ISNUMBER(SEARCH("ClusterCentroids",A128)),ISNUMBER(SEARCH("OneSidedSelection",A128))),     "Undersampler",     "Czysty"    )   )  ) )</f>
        <v>Over+Under</v>
      </c>
      <c r="C128" s="1" t="s">
        <v>74</v>
      </c>
      <c r="D128" s="1" t="n">
        <v>0.7259</v>
      </c>
      <c r="E128" s="1" t="n">
        <v>0.7282</v>
      </c>
      <c r="F128" s="1" t="n">
        <v>0.7375</v>
      </c>
      <c r="G128" s="1" t="n">
        <v>0.7292</v>
      </c>
      <c r="I128" s="1"/>
      <c r="J128" s="1"/>
      <c r="K128" s="1"/>
      <c r="L128" s="1"/>
      <c r="M128" s="1"/>
      <c r="N128" s="1"/>
    </row>
    <row r="129" customFormat="false" ht="13.8" hidden="false" customHeight="false" outlineLevel="0" collapsed="false">
      <c r="A129" s="1" t="s">
        <v>88</v>
      </c>
      <c r="B129" s="1" t="str">
        <f aca="false">IF(  OR(ISNUMBER(SEARCH("SMOTEENN",A129)),ISNUMBER(SEARCH("SMOTETomek",A129))),  "Hybrid",  IF(   AND(    OR(ISNUMBER(SEARCH("SMOTE",A129)),ISNUMBER(SEARCH("SVMSMOTE",A129)),ISNUMBER(SEARCH("RandomOverSampler",A129)),ISNUMBER(SEARCH("BorderlineSmote",A129))),    OR(ISNUMBER(SEARCH("RandomUnderSampler",A129)),ISNUMBER(SEARCH("ClusterCentroids",A129)),ISNUMBER(SEARCH("OneSidedSelection",A129)))   ),   "Over+Under",   IF(    OR(ISNUMBER(SEARCH("SMOTE",A129)),ISNUMBER(SEARCH("SVMSMOTE",A129)),ISNUMBER(SEARCH("RandomOverSampler",A129)),ISNUMBER(SEARCH("BorderlineSmote",A129))),    "Oversampling",    IF(     OR(ISNUMBER(SEARCH("RandomUnderSampler",A129)),ISNUMBER(SEARCH("ClusterCentroids",A129)),ISNUMBER(SEARCH("OneSidedSelection",A129))),     "Undersampler",     "Czysty"    )   )  ) )</f>
        <v>Over+Under</v>
      </c>
      <c r="C129" s="1" t="s">
        <v>74</v>
      </c>
      <c r="D129" s="1" t="n">
        <v>0.6778</v>
      </c>
      <c r="E129" s="1" t="n">
        <v>0.5613</v>
      </c>
      <c r="F129" s="1" t="n">
        <v>0.5531</v>
      </c>
      <c r="G129" s="1" t="n">
        <v>0.6667</v>
      </c>
      <c r="I129" s="1"/>
      <c r="J129" s="1"/>
      <c r="K129" s="1"/>
      <c r="L129" s="1"/>
      <c r="M129" s="1"/>
      <c r="N129" s="1"/>
    </row>
    <row r="130" customFormat="false" ht="13.8" hidden="false" customHeight="false" outlineLevel="0" collapsed="false">
      <c r="A130" s="1" t="s">
        <v>84</v>
      </c>
      <c r="B130" s="1" t="str">
        <f aca="false">IF(  OR(ISNUMBER(SEARCH("SMOTEENN",A130)),ISNUMBER(SEARCH("SMOTETomek",A130))),  "Hybrid",  IF(   AND(    OR(ISNUMBER(SEARCH("SMOTE",A130)),ISNUMBER(SEARCH("SVMSMOTE",A130)),ISNUMBER(SEARCH("RandomOverSampler",A130)),ISNUMBER(SEARCH("BorderlineSmote",A130))),    OR(ISNUMBER(SEARCH("RandomUnderSampler",A130)),ISNUMBER(SEARCH("ClusterCentroids",A130)),ISNUMBER(SEARCH("OneSidedSelection",A130)))   ),   "Over+Under",   IF(    OR(ISNUMBER(SEARCH("SMOTE",A130)),ISNUMBER(SEARCH("SVMSMOTE",A130)),ISNUMBER(SEARCH("RandomOverSampler",A130)),ISNUMBER(SEARCH("BorderlineSmote",A130))),    "Oversampling",    IF(     OR(ISNUMBER(SEARCH("RandomUnderSampler",A130)),ISNUMBER(SEARCH("ClusterCentroids",A130)),ISNUMBER(SEARCH("OneSidedSelection",A130))),     "Undersampler",     "Czysty"    )   )  ) )</f>
        <v>Over+Under</v>
      </c>
      <c r="C130" s="1" t="s">
        <v>74</v>
      </c>
      <c r="D130" s="1" t="n">
        <v>0.6685</v>
      </c>
      <c r="E130" s="1" t="n">
        <v>0.5543</v>
      </c>
      <c r="F130" s="1" t="n">
        <v>0.5484</v>
      </c>
      <c r="G130" s="1" t="n">
        <v>0.6576</v>
      </c>
      <c r="I130" s="1"/>
      <c r="J130" s="1"/>
      <c r="K130" s="1"/>
      <c r="L130" s="1"/>
      <c r="M130" s="1"/>
      <c r="N130" s="1"/>
    </row>
    <row r="131" customFormat="false" ht="13.8" hidden="false" customHeight="false" outlineLevel="0" collapsed="false">
      <c r="A131" s="1" t="s">
        <v>87</v>
      </c>
      <c r="B131" s="1" t="str">
        <f aca="false">IF(  OR(ISNUMBER(SEARCH("SMOTEENN",A131)),ISNUMBER(SEARCH("SMOTETomek",A131))),  "Hybrid",  IF(   AND(    OR(ISNUMBER(SEARCH("SMOTE",A131)),ISNUMBER(SEARCH("SVMSMOTE",A131)),ISNUMBER(SEARCH("RandomOverSampler",A131)),ISNUMBER(SEARCH("BorderlineSmote",A131))),    OR(ISNUMBER(SEARCH("RandomUnderSampler",A131)),ISNUMBER(SEARCH("ClusterCentroids",A131)),ISNUMBER(SEARCH("OneSidedSelection",A131)))   ),   "Over+Under",   IF(    OR(ISNUMBER(SEARCH("SMOTE",A131)),ISNUMBER(SEARCH("SVMSMOTE",A131)),ISNUMBER(SEARCH("RandomOverSampler",A131)),ISNUMBER(SEARCH("BorderlineSmote",A131))),    "Oversampling",    IF(     OR(ISNUMBER(SEARCH("RandomUnderSampler",A131)),ISNUMBER(SEARCH("ClusterCentroids",A131)),ISNUMBER(SEARCH("OneSidedSelection",A131))),     "Undersampler",     "Czysty"    )   )  ) )</f>
        <v>Hybrid</v>
      </c>
      <c r="C131" s="1" t="s">
        <v>74</v>
      </c>
      <c r="D131" s="1" t="n">
        <v>0.6148</v>
      </c>
      <c r="E131" s="1" t="n">
        <v>0.536</v>
      </c>
      <c r="F131" s="1" t="n">
        <v>0.6328</v>
      </c>
      <c r="G131" s="1" t="n">
        <v>0.6306</v>
      </c>
      <c r="I131" s="1"/>
      <c r="J131" s="1"/>
      <c r="K131" s="1"/>
      <c r="L131" s="1"/>
      <c r="M131" s="1"/>
      <c r="N131" s="1"/>
    </row>
    <row r="135" customFormat="false" ht="13.8" hidden="false" customHeight="false" outlineLevel="0" collapsed="false">
      <c r="D135" s="4" t="s">
        <v>6</v>
      </c>
      <c r="E135" s="4" t="s">
        <v>127</v>
      </c>
      <c r="F135" s="4" t="s">
        <v>9</v>
      </c>
      <c r="G135" s="4" t="s">
        <v>10</v>
      </c>
    </row>
    <row r="136" customFormat="false" ht="13.8" hidden="false" customHeight="false" outlineLevel="0" collapsed="false">
      <c r="A136" s="1" t="s">
        <v>75</v>
      </c>
      <c r="D136" s="1" t="n">
        <f aca="false">ROUND(STDEV(D3:D17, D69:D83, D36:D50, D102:D116), 5)</f>
        <v>0.05699</v>
      </c>
      <c r="E136" s="1" t="n">
        <f aca="false">ROUND(STDEV(E3:E17, E69:E83, E36:E50, E102:E116), 5)</f>
        <v>0.09055</v>
      </c>
      <c r="F136" s="1" t="n">
        <f aca="false">ROUND(STDEV(F3:F17, F69:F83, F36:F50, F102:F116), 5)</f>
        <v>0.09913</v>
      </c>
      <c r="G136" s="1" t="n">
        <f aca="false">ROUND(STDEV(G3:G17, G69:G83, G36:G50, G102:G116), 5)</f>
        <v>0.05767</v>
      </c>
    </row>
    <row r="137" customFormat="false" ht="13.8" hidden="false" customHeight="false" outlineLevel="0" collapsed="false">
      <c r="A137" s="1" t="s">
        <v>76</v>
      </c>
      <c r="D137" s="1" t="n">
        <f aca="false">ROUND(STDEV(D18:D32, D84:D98, D51:D65, D117:D131), 5)</f>
        <v>0.05789</v>
      </c>
      <c r="E137" s="1" t="n">
        <f aca="false">ROUND(STDEV(E18:E32, E84:E98, E51:E65, E117:E131), 5)</f>
        <v>0.09037</v>
      </c>
      <c r="F137" s="1" t="n">
        <f aca="false">ROUND(STDEV(F18:F32, F84:F98, F51:F65, F117:F131), 5)</f>
        <v>0.09626</v>
      </c>
      <c r="G137" s="1" t="n">
        <f aca="false">ROUND(STDEV(G18:G32, G84:G98, G51:G65, G117:G131), 5)</f>
        <v>0.05851</v>
      </c>
    </row>
  </sheetData>
  <mergeCells count="4">
    <mergeCell ref="A1:F1"/>
    <mergeCell ref="A34:F34"/>
    <mergeCell ref="A67:F67"/>
    <mergeCell ref="A100:F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103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15" hidden="false" customHeight="false" outlineLevel="0" collapsed="false">
      <c r="A4" s="1" t="s">
        <v>12</v>
      </c>
      <c r="B4" s="1" t="s">
        <v>1</v>
      </c>
      <c r="C4" s="1" t="s">
        <v>13</v>
      </c>
      <c r="D4" s="1" t="s">
        <v>14</v>
      </c>
      <c r="E4" s="1" t="n">
        <v>0.533043523262433</v>
      </c>
      <c r="F4" s="1" t="n">
        <v>0.422699871756476</v>
      </c>
      <c r="G4" s="1" t="n">
        <v>0.415037987114166</v>
      </c>
      <c r="H4" s="1" t="n">
        <v>0.445406512979076</v>
      </c>
      <c r="I4" s="1" t="n">
        <v>0.422699871756476</v>
      </c>
      <c r="J4" s="1" t="n">
        <v>0.0284886654704693</v>
      </c>
    </row>
    <row r="5" customFormat="false" ht="15" hidden="false" customHeight="false" outlineLevel="0" collapsed="false">
      <c r="A5" s="1" t="s">
        <v>21</v>
      </c>
      <c r="B5" s="1" t="s">
        <v>17</v>
      </c>
      <c r="C5" s="1" t="s">
        <v>13</v>
      </c>
      <c r="D5" s="1" t="s">
        <v>14</v>
      </c>
      <c r="E5" s="1" t="n">
        <v>0.527195570046059</v>
      </c>
      <c r="F5" s="1" t="n">
        <v>0.436935478916611</v>
      </c>
      <c r="G5" s="1" t="n">
        <v>0.430291307466615</v>
      </c>
      <c r="H5" s="1" t="n">
        <v>0.451813505125469</v>
      </c>
      <c r="I5" s="1" t="n">
        <v>0.436935478916611</v>
      </c>
      <c r="J5" s="1" t="n">
        <v>0.0462460876519948</v>
      </c>
    </row>
    <row r="6" customFormat="false" ht="15" hidden="false" customHeight="false" outlineLevel="0" collapsed="false">
      <c r="A6" s="1" t="s">
        <v>70</v>
      </c>
      <c r="B6" s="1" t="s">
        <v>1</v>
      </c>
      <c r="C6" s="1" t="s">
        <v>13</v>
      </c>
      <c r="D6" s="1" t="s">
        <v>14</v>
      </c>
      <c r="E6" s="1" t="n">
        <v>0.525681829943591</v>
      </c>
      <c r="F6" s="1" t="n">
        <v>0.427737845662374</v>
      </c>
      <c r="G6" s="1" t="n">
        <v>0.416146859166122</v>
      </c>
      <c r="H6" s="1" t="n">
        <v>0.445733755956907</v>
      </c>
      <c r="I6" s="1" t="n">
        <v>0.427737845662374</v>
      </c>
      <c r="J6" s="1" t="n">
        <v>0.0325951597852716</v>
      </c>
    </row>
    <row r="7" customFormat="false" ht="15" hidden="false" customHeight="false" outlineLevel="0" collapsed="false">
      <c r="A7" s="1" t="s">
        <v>16</v>
      </c>
      <c r="B7" s="1" t="s">
        <v>1</v>
      </c>
      <c r="C7" s="1" t="s">
        <v>13</v>
      </c>
      <c r="D7" s="1" t="s">
        <v>14</v>
      </c>
      <c r="E7" s="1" t="n">
        <v>0.521218237333747</v>
      </c>
      <c r="F7" s="1" t="n">
        <v>0.442877108914845</v>
      </c>
      <c r="G7" s="1" t="n">
        <v>0.429624552483831</v>
      </c>
      <c r="H7" s="1" t="n">
        <v>0.464493675326037</v>
      </c>
      <c r="I7" s="1" t="n">
        <v>0.442877108914845</v>
      </c>
      <c r="J7" s="1" t="n">
        <v>0.0381700931424636</v>
      </c>
    </row>
    <row r="8" customFormat="false" ht="15" hidden="false" customHeight="false" outlineLevel="0" collapsed="false">
      <c r="A8" s="1" t="s">
        <v>19</v>
      </c>
      <c r="B8" s="1" t="s">
        <v>17</v>
      </c>
      <c r="C8" s="1" t="s">
        <v>13</v>
      </c>
      <c r="D8" s="1" t="s">
        <v>14</v>
      </c>
      <c r="E8" s="1" t="n">
        <v>0.515305594369404</v>
      </c>
      <c r="F8" s="1" t="n">
        <v>0.408968215571989</v>
      </c>
      <c r="G8" s="1" t="n">
        <v>0.39861282230591</v>
      </c>
      <c r="H8" s="1" t="n">
        <v>0.424522530203785</v>
      </c>
      <c r="I8" s="1" t="n">
        <v>0.408968215571989</v>
      </c>
      <c r="J8" s="1" t="n">
        <v>0.06204501896771</v>
      </c>
    </row>
    <row r="9" customFormat="false" ht="15" hidden="false" customHeight="false" outlineLevel="0" collapsed="false">
      <c r="A9" s="1" t="s">
        <v>73</v>
      </c>
      <c r="B9" s="1" t="s">
        <v>1</v>
      </c>
      <c r="C9" s="1" t="s">
        <v>13</v>
      </c>
      <c r="D9" s="1" t="s">
        <v>14</v>
      </c>
      <c r="E9" s="1" t="n">
        <v>0.506559540444031</v>
      </c>
      <c r="F9" s="1" t="n">
        <v>0.405193862741033</v>
      </c>
      <c r="G9" s="1" t="n">
        <v>0.386454124784</v>
      </c>
      <c r="H9" s="1" t="n">
        <v>0.411200629560321</v>
      </c>
      <c r="I9" s="1" t="n">
        <v>0.405193862741033</v>
      </c>
      <c r="J9" s="1" t="n">
        <v>0.046497088372965</v>
      </c>
    </row>
    <row r="10" customFormat="false" ht="15" hidden="false" customHeight="false" outlineLevel="0" collapsed="false">
      <c r="A10" s="1" t="s">
        <v>15</v>
      </c>
      <c r="B10" s="1" t="s">
        <v>1</v>
      </c>
      <c r="C10" s="1" t="s">
        <v>13</v>
      </c>
      <c r="D10" s="1" t="s">
        <v>14</v>
      </c>
      <c r="E10" s="1" t="n">
        <v>0.499301350721938</v>
      </c>
      <c r="F10" s="1" t="n">
        <v>0.393544819959914</v>
      </c>
      <c r="G10" s="1" t="n">
        <v>0.385295078193668</v>
      </c>
      <c r="H10" s="1" t="n">
        <v>0.41138236830531</v>
      </c>
      <c r="I10" s="1" t="n">
        <v>0.393544819959914</v>
      </c>
      <c r="J10" s="1" t="n">
        <v>0.0356790167556462</v>
      </c>
    </row>
    <row r="11" customFormat="false" ht="15" hidden="false" customHeight="false" outlineLevel="0" collapsed="false">
      <c r="A11" s="1" t="s">
        <v>68</v>
      </c>
      <c r="B11" s="1" t="s">
        <v>17</v>
      </c>
      <c r="C11" s="1" t="s">
        <v>13</v>
      </c>
      <c r="D11" s="1" t="s">
        <v>14</v>
      </c>
      <c r="E11" s="1" t="n">
        <v>0.496235056668219</v>
      </c>
      <c r="F11" s="1" t="n">
        <v>0.389518587631795</v>
      </c>
      <c r="G11" s="1" t="n">
        <v>0.371136017873827</v>
      </c>
      <c r="H11" s="1" t="n">
        <v>0.380938048853531</v>
      </c>
      <c r="I11" s="1" t="n">
        <v>0.389518587631795</v>
      </c>
      <c r="J11" s="1" t="n">
        <v>0.0423127385088424</v>
      </c>
    </row>
    <row r="12" customFormat="false" ht="15" hidden="false" customHeight="false" outlineLevel="0" collapsed="false">
      <c r="A12" s="1" t="s">
        <v>20</v>
      </c>
      <c r="B12" s="1" t="s">
        <v>17</v>
      </c>
      <c r="C12" s="1" t="s">
        <v>13</v>
      </c>
      <c r="D12" s="1" t="s">
        <v>14</v>
      </c>
      <c r="E12" s="1" t="n">
        <v>0.494928323759251</v>
      </c>
      <c r="F12" s="1" t="n">
        <v>0.403643613549274</v>
      </c>
      <c r="G12" s="1" t="n">
        <v>0.400589867053593</v>
      </c>
      <c r="H12" s="1" t="n">
        <v>0.42748865426118</v>
      </c>
      <c r="I12" s="1" t="n">
        <v>0.403643613549274</v>
      </c>
      <c r="J12" s="1" t="n">
        <v>0.0424366990280445</v>
      </c>
    </row>
    <row r="13" customFormat="false" ht="15" hidden="false" customHeight="false" outlineLevel="0" collapsed="false">
      <c r="A13" s="1" t="s">
        <v>65</v>
      </c>
      <c r="B13" s="1" t="s">
        <v>17</v>
      </c>
      <c r="C13" s="1" t="s">
        <v>13</v>
      </c>
      <c r="D13" s="1" t="s">
        <v>14</v>
      </c>
      <c r="E13" s="1" t="n">
        <v>0.494876571960876</v>
      </c>
      <c r="F13" s="1" t="n">
        <v>0.40923986914553</v>
      </c>
      <c r="G13" s="1" t="n">
        <v>0.39204363002504</v>
      </c>
      <c r="H13" s="1" t="n">
        <v>0.397088811016892</v>
      </c>
      <c r="I13" s="1" t="n">
        <v>0.40923986914553</v>
      </c>
      <c r="J13" s="1" t="n">
        <v>0.0444880896720824</v>
      </c>
    </row>
    <row r="14" customFormat="false" ht="15" hidden="false" customHeight="false" outlineLevel="0" collapsed="false">
      <c r="A14" s="1" t="s">
        <v>1</v>
      </c>
      <c r="B14" s="1" t="s">
        <v>1</v>
      </c>
      <c r="C14" s="1" t="s">
        <v>18</v>
      </c>
      <c r="D14" s="1" t="s">
        <v>14</v>
      </c>
      <c r="E14" s="1" t="n">
        <v>0.493375769808001</v>
      </c>
      <c r="F14" s="1" t="n">
        <v>0.328443952972255</v>
      </c>
      <c r="G14" s="1" t="n">
        <v>0.304052735708529</v>
      </c>
      <c r="H14" s="1" t="n">
        <v>0.385116758420217</v>
      </c>
      <c r="I14" s="1" t="n">
        <v>0.328443952972255</v>
      </c>
      <c r="J14" s="1" t="n">
        <v>0.0293372404686645</v>
      </c>
    </row>
    <row r="15" customFormat="false" ht="15" hidden="false" customHeight="false" outlineLevel="0" collapsed="false">
      <c r="A15" s="1" t="s">
        <v>17</v>
      </c>
      <c r="B15" s="1" t="s">
        <v>17</v>
      </c>
      <c r="C15" s="1" t="s">
        <v>18</v>
      </c>
      <c r="D15" s="1" t="s">
        <v>14</v>
      </c>
      <c r="E15" s="1" t="n">
        <v>0.48888630129897</v>
      </c>
      <c r="F15" s="1" t="n">
        <v>0.359708303576228</v>
      </c>
      <c r="G15" s="1" t="n">
        <v>0.356479727857916</v>
      </c>
      <c r="H15" s="1" t="n">
        <v>0.401436122259249</v>
      </c>
      <c r="I15" s="1" t="n">
        <v>0.359708303576228</v>
      </c>
      <c r="J15" s="1" t="n">
        <v>0.0345966020002378</v>
      </c>
    </row>
    <row r="16" customFormat="false" ht="15" hidden="false" customHeight="false" outlineLevel="0" collapsed="false">
      <c r="A16" s="1" t="s">
        <v>33</v>
      </c>
      <c r="B16" s="1" t="s">
        <v>1</v>
      </c>
      <c r="C16" s="1" t="s">
        <v>13</v>
      </c>
      <c r="D16" s="1" t="s">
        <v>14</v>
      </c>
      <c r="E16" s="1" t="n">
        <v>0.475780158360503</v>
      </c>
      <c r="F16" s="1" t="n">
        <v>0.384203776656607</v>
      </c>
      <c r="G16" s="1" t="n">
        <v>0.360112540628693</v>
      </c>
      <c r="H16" s="1" t="n">
        <v>0.376772387115627</v>
      </c>
      <c r="I16" s="1" t="n">
        <v>0.384203776656607</v>
      </c>
      <c r="J16" s="1" t="n">
        <v>0.054662313408558</v>
      </c>
    </row>
    <row r="17" customFormat="false" ht="15" hidden="false" customHeight="false" outlineLevel="0" collapsed="false">
      <c r="A17" s="1" t="s">
        <v>29</v>
      </c>
      <c r="B17" s="1" t="s">
        <v>17</v>
      </c>
      <c r="C17" s="1" t="s">
        <v>13</v>
      </c>
      <c r="D17" s="1" t="s">
        <v>14</v>
      </c>
      <c r="E17" s="1" t="n">
        <v>0.471277751901879</v>
      </c>
      <c r="F17" s="1" t="n">
        <v>0.400989279762865</v>
      </c>
      <c r="G17" s="1" t="n">
        <v>0.359868436307175</v>
      </c>
      <c r="H17" s="1" t="n">
        <v>0.382110266754089</v>
      </c>
      <c r="I17" s="1" t="n">
        <v>0.400989279762865</v>
      </c>
      <c r="J17" s="1" t="n">
        <v>0.0348362795777094</v>
      </c>
    </row>
    <row r="18" customFormat="false" ht="15" hidden="false" customHeight="false" outlineLevel="0" collapsed="false">
      <c r="A18" s="1" t="s">
        <v>26</v>
      </c>
      <c r="B18" s="1" t="s">
        <v>26</v>
      </c>
      <c r="C18" s="1" t="s">
        <v>18</v>
      </c>
      <c r="D18" s="1" t="s">
        <v>14</v>
      </c>
      <c r="E18" s="1" t="n">
        <v>0.465481550483879</v>
      </c>
      <c r="F18" s="1" t="n">
        <v>0.335276376314112</v>
      </c>
      <c r="G18" s="1" t="n">
        <v>0.329060337956118</v>
      </c>
      <c r="H18" s="1" t="n">
        <v>0.358003080932489</v>
      </c>
      <c r="I18" s="1" t="n">
        <v>0.335276376314112</v>
      </c>
      <c r="J18" s="1" t="n">
        <v>0.0320235866947921</v>
      </c>
    </row>
    <row r="19" customFormat="false" ht="15" hidden="false" customHeight="false" outlineLevel="0" collapsed="false">
      <c r="A19" s="1" t="s">
        <v>60</v>
      </c>
      <c r="B19" s="1" t="s">
        <v>26</v>
      </c>
      <c r="C19" s="1" t="s">
        <v>13</v>
      </c>
      <c r="D19" s="1" t="s">
        <v>14</v>
      </c>
      <c r="E19" s="1" t="n">
        <v>0.456502613465818</v>
      </c>
      <c r="F19" s="1" t="n">
        <v>0.341229717173113</v>
      </c>
      <c r="G19" s="1" t="n">
        <v>0.344793595396021</v>
      </c>
      <c r="H19" s="1" t="n">
        <v>0.389890065659165</v>
      </c>
      <c r="I19" s="1" t="n">
        <v>0.341229717173113</v>
      </c>
      <c r="J19" s="1" t="n">
        <v>0.0416154087638696</v>
      </c>
    </row>
    <row r="20" customFormat="false" ht="15" hidden="false" customHeight="false" outlineLevel="0" collapsed="false">
      <c r="A20" s="1" t="s">
        <v>34</v>
      </c>
      <c r="B20" s="1" t="s">
        <v>17</v>
      </c>
      <c r="C20" s="1" t="s">
        <v>13</v>
      </c>
      <c r="D20" s="1" t="s">
        <v>14</v>
      </c>
      <c r="E20" s="1" t="n">
        <v>0.455092376960099</v>
      </c>
      <c r="F20" s="1" t="n">
        <v>0.380731026485744</v>
      </c>
      <c r="G20" s="1" t="n">
        <v>0.359632254917736</v>
      </c>
      <c r="H20" s="1" t="n">
        <v>0.375758579711669</v>
      </c>
      <c r="I20" s="1" t="n">
        <v>0.380731026485744</v>
      </c>
      <c r="J20" s="1" t="n">
        <v>0.0320956204621765</v>
      </c>
    </row>
    <row r="21" customFormat="false" ht="15" hidden="false" customHeight="false" outlineLevel="0" collapsed="false">
      <c r="A21" s="1" t="s">
        <v>30</v>
      </c>
      <c r="B21" s="1" t="s">
        <v>26</v>
      </c>
      <c r="C21" s="1" t="s">
        <v>13</v>
      </c>
      <c r="D21" s="1" t="s">
        <v>14</v>
      </c>
      <c r="E21" s="1" t="n">
        <v>0.450991046938881</v>
      </c>
      <c r="F21" s="1" t="n">
        <v>0.352882791562037</v>
      </c>
      <c r="G21" s="1" t="n">
        <v>0.348233741404966</v>
      </c>
      <c r="H21" s="1" t="n">
        <v>0.389178847372896</v>
      </c>
      <c r="I21" s="1" t="n">
        <v>0.352882791562037</v>
      </c>
      <c r="J21" s="1" t="n">
        <v>0.0637331583969395</v>
      </c>
    </row>
    <row r="22" customFormat="false" ht="15" hidden="false" customHeight="false" outlineLevel="0" collapsed="false">
      <c r="A22" s="1" t="s">
        <v>36</v>
      </c>
      <c r="B22" s="1" t="s">
        <v>26</v>
      </c>
      <c r="C22" s="1" t="s">
        <v>13</v>
      </c>
      <c r="D22" s="1" t="s">
        <v>14</v>
      </c>
      <c r="E22" s="1" t="n">
        <v>0.443305904880195</v>
      </c>
      <c r="F22" s="1" t="n">
        <v>0.354834473702398</v>
      </c>
      <c r="G22" s="1" t="n">
        <v>0.349969800079913</v>
      </c>
      <c r="H22" s="1" t="n">
        <v>0.394182172678072</v>
      </c>
      <c r="I22" s="1" t="n">
        <v>0.354834473702398</v>
      </c>
      <c r="J22" s="1" t="n">
        <v>0.0463538003332072</v>
      </c>
    </row>
    <row r="23" customFormat="false" ht="15" hidden="false" customHeight="false" outlineLevel="0" collapsed="false">
      <c r="A23" s="1" t="s">
        <v>35</v>
      </c>
      <c r="B23" s="1" t="s">
        <v>26</v>
      </c>
      <c r="C23" s="1" t="s">
        <v>13</v>
      </c>
      <c r="D23" s="1" t="s">
        <v>14</v>
      </c>
      <c r="E23" s="1" t="n">
        <v>0.437652020907727</v>
      </c>
      <c r="F23" s="1" t="n">
        <v>0.366449919751807</v>
      </c>
      <c r="G23" s="1" t="n">
        <v>0.337493808363084</v>
      </c>
      <c r="H23" s="1" t="n">
        <v>0.35027308153734</v>
      </c>
      <c r="I23" s="1" t="n">
        <v>0.366449919751807</v>
      </c>
      <c r="J23" s="1" t="n">
        <v>0.0437563325069433</v>
      </c>
    </row>
    <row r="24" customFormat="false" ht="15" hidden="false" customHeight="false" outlineLevel="0" collapsed="false">
      <c r="A24" s="1" t="s">
        <v>27</v>
      </c>
      <c r="B24" s="1" t="s">
        <v>23</v>
      </c>
      <c r="C24" s="1" t="s">
        <v>13</v>
      </c>
      <c r="D24" s="1" t="s">
        <v>14</v>
      </c>
      <c r="E24" s="1" t="n">
        <v>0.434598664803602</v>
      </c>
      <c r="F24" s="1" t="n">
        <v>0.372012578616352</v>
      </c>
      <c r="G24" s="1" t="n">
        <v>0.351735051984033</v>
      </c>
      <c r="H24" s="1" t="n">
        <v>0.362857950581684</v>
      </c>
      <c r="I24" s="1" t="n">
        <v>0.372012578616352</v>
      </c>
      <c r="J24" s="1" t="n">
        <v>0.0422019870963582</v>
      </c>
    </row>
    <row r="25" customFormat="false" ht="15" hidden="false" customHeight="false" outlineLevel="0" collapsed="false">
      <c r="A25" s="1" t="s">
        <v>57</v>
      </c>
      <c r="B25" s="1" t="s">
        <v>26</v>
      </c>
      <c r="C25" s="1" t="s">
        <v>13</v>
      </c>
      <c r="D25" s="1" t="s">
        <v>14</v>
      </c>
      <c r="E25" s="1" t="n">
        <v>0.431687626145009</v>
      </c>
      <c r="F25" s="1" t="n">
        <v>0.335859423595273</v>
      </c>
      <c r="G25" s="1" t="n">
        <v>0.335004182820058</v>
      </c>
      <c r="H25" s="1" t="n">
        <v>0.378398139501324</v>
      </c>
      <c r="I25" s="1" t="n">
        <v>0.335859423595273</v>
      </c>
      <c r="J25" s="1" t="n">
        <v>0.0702444728691915</v>
      </c>
    </row>
    <row r="26" customFormat="false" ht="15" hidden="false" customHeight="false" outlineLevel="0" collapsed="false">
      <c r="A26" s="1" t="s">
        <v>69</v>
      </c>
      <c r="B26" s="1" t="s">
        <v>1</v>
      </c>
      <c r="C26" s="1" t="s">
        <v>13</v>
      </c>
      <c r="D26" s="1" t="s">
        <v>14</v>
      </c>
      <c r="E26" s="1" t="n">
        <v>0.430290327588884</v>
      </c>
      <c r="F26" s="1" t="n">
        <v>0.371563534299383</v>
      </c>
      <c r="G26" s="1" t="n">
        <v>0.330318318335351</v>
      </c>
      <c r="H26" s="1" t="n">
        <v>0.336170779976805</v>
      </c>
      <c r="I26" s="1" t="n">
        <v>0.371563534299383</v>
      </c>
      <c r="J26" s="1" t="n">
        <v>0.0406546907225992</v>
      </c>
    </row>
    <row r="27" customFormat="false" ht="15" hidden="false" customHeight="false" outlineLevel="0" collapsed="false">
      <c r="A27" s="1" t="s">
        <v>32</v>
      </c>
      <c r="B27" s="1" t="s">
        <v>1</v>
      </c>
      <c r="C27" s="1" t="s">
        <v>13</v>
      </c>
      <c r="D27" s="1" t="s">
        <v>14</v>
      </c>
      <c r="E27" s="1" t="n">
        <v>0.428893029032759</v>
      </c>
      <c r="F27" s="1" t="n">
        <v>0.455437295059937</v>
      </c>
      <c r="G27" s="1" t="n">
        <v>0.38812473634782</v>
      </c>
      <c r="H27" s="1" t="n">
        <v>0.375387916137828</v>
      </c>
      <c r="I27" s="1" t="n">
        <v>0.455437295059937</v>
      </c>
      <c r="J27" s="1" t="n">
        <v>0.0380528945910077</v>
      </c>
    </row>
    <row r="28" customFormat="false" ht="15" hidden="false" customHeight="false" outlineLevel="0" collapsed="false">
      <c r="A28" s="1" t="s">
        <v>28</v>
      </c>
      <c r="B28" s="1" t="s">
        <v>26</v>
      </c>
      <c r="C28" s="1" t="s">
        <v>13</v>
      </c>
      <c r="D28" s="1" t="s">
        <v>14</v>
      </c>
      <c r="E28" s="1" t="n">
        <v>0.422812192723697</v>
      </c>
      <c r="F28" s="1" t="n">
        <v>0.349672095898511</v>
      </c>
      <c r="G28" s="1" t="n">
        <v>0.343284966364699</v>
      </c>
      <c r="H28" s="1" t="n">
        <v>0.354838377586835</v>
      </c>
      <c r="I28" s="1" t="n">
        <v>0.349672095898511</v>
      </c>
      <c r="J28" s="1" t="n">
        <v>0.0532737685990082</v>
      </c>
    </row>
    <row r="29" customFormat="false" ht="15" hidden="false" customHeight="false" outlineLevel="0" collapsed="false">
      <c r="A29" s="1" t="s">
        <v>25</v>
      </c>
      <c r="B29" s="1" t="s">
        <v>26</v>
      </c>
      <c r="C29" s="1" t="s">
        <v>13</v>
      </c>
      <c r="D29" s="1" t="s">
        <v>14</v>
      </c>
      <c r="E29" s="1" t="n">
        <v>0.421518397764322</v>
      </c>
      <c r="F29" s="1" t="n">
        <v>0.36470903310526</v>
      </c>
      <c r="G29" s="1" t="n">
        <v>0.364204483260696</v>
      </c>
      <c r="H29" s="1" t="n">
        <v>0.433301537666323</v>
      </c>
      <c r="I29" s="1" t="n">
        <v>0.36470903310526</v>
      </c>
      <c r="J29" s="1" t="n">
        <v>0.0519459419151343</v>
      </c>
    </row>
    <row r="30" customFormat="false" ht="15" hidden="false" customHeight="false" outlineLevel="0" collapsed="false">
      <c r="A30" s="1" t="s">
        <v>31</v>
      </c>
      <c r="B30" s="1" t="s">
        <v>1</v>
      </c>
      <c r="C30" s="1" t="s">
        <v>13</v>
      </c>
      <c r="D30" s="1" t="s">
        <v>14</v>
      </c>
      <c r="E30" s="1" t="n">
        <v>0.415579878900792</v>
      </c>
      <c r="F30" s="1" t="n">
        <v>0.448122806613373</v>
      </c>
      <c r="G30" s="1" t="n">
        <v>0.388316950622786</v>
      </c>
      <c r="H30" s="1" t="n">
        <v>0.382045072073413</v>
      </c>
      <c r="I30" s="1" t="n">
        <v>0.448122806613373</v>
      </c>
      <c r="J30" s="1" t="n">
        <v>0.0262145707101755</v>
      </c>
    </row>
    <row r="31" customFormat="false" ht="15" hidden="false" customHeight="false" outlineLevel="0" collapsed="false">
      <c r="A31" s="1" t="s">
        <v>37</v>
      </c>
      <c r="B31" s="1" t="s">
        <v>23</v>
      </c>
      <c r="C31" s="1" t="s">
        <v>13</v>
      </c>
      <c r="D31" s="1" t="s">
        <v>14</v>
      </c>
      <c r="E31" s="1" t="n">
        <v>0.405268333074574</v>
      </c>
      <c r="F31" s="1" t="n">
        <v>0.378271169780604</v>
      </c>
      <c r="G31" s="1" t="n">
        <v>0.366277135874958</v>
      </c>
      <c r="H31" s="1" t="n">
        <v>0.372662728662445</v>
      </c>
      <c r="I31" s="1" t="n">
        <v>0.378271169780604</v>
      </c>
      <c r="J31" s="1" t="n">
        <v>0.0394807988048078</v>
      </c>
    </row>
    <row r="32" customFormat="false" ht="15" hidden="false" customHeight="false" outlineLevel="0" collapsed="false">
      <c r="A32" s="1" t="s">
        <v>71</v>
      </c>
      <c r="B32" s="1" t="s">
        <v>1</v>
      </c>
      <c r="C32" s="1" t="s">
        <v>13</v>
      </c>
      <c r="D32" s="1" t="s">
        <v>14</v>
      </c>
      <c r="E32" s="1" t="n">
        <v>0.393533612793045</v>
      </c>
      <c r="F32" s="1" t="n">
        <v>0.441343946060927</v>
      </c>
      <c r="G32" s="1" t="n">
        <v>0.379961256686762</v>
      </c>
      <c r="H32" s="1" t="n">
        <v>0.378321359007135</v>
      </c>
      <c r="I32" s="1" t="n">
        <v>0.441343946060927</v>
      </c>
      <c r="J32" s="1" t="n">
        <v>0.0164865806901346</v>
      </c>
    </row>
    <row r="33" customFormat="false" ht="15" hidden="false" customHeight="false" outlineLevel="0" collapsed="false">
      <c r="A33" s="1" t="s">
        <v>41</v>
      </c>
      <c r="B33" s="1" t="s">
        <v>23</v>
      </c>
      <c r="C33" s="1" t="s">
        <v>13</v>
      </c>
      <c r="D33" s="1" t="s">
        <v>14</v>
      </c>
      <c r="E33" s="1" t="n">
        <v>0.393391295347513</v>
      </c>
      <c r="F33" s="1" t="n">
        <v>0.356079472588907</v>
      </c>
      <c r="G33" s="1" t="n">
        <v>0.343480652448002</v>
      </c>
      <c r="H33" s="1" t="n">
        <v>0.370328590336805</v>
      </c>
      <c r="I33" s="1" t="n">
        <v>0.356079472588907</v>
      </c>
      <c r="J33" s="1" t="n">
        <v>0.0523038848389331</v>
      </c>
    </row>
    <row r="34" customFormat="false" ht="15" hidden="false" customHeight="false" outlineLevel="0" collapsed="false">
      <c r="A34" s="1" t="s">
        <v>64</v>
      </c>
      <c r="B34" s="1" t="s">
        <v>23</v>
      </c>
      <c r="C34" s="1" t="s">
        <v>13</v>
      </c>
      <c r="D34" s="1" t="s">
        <v>14</v>
      </c>
      <c r="E34" s="1" t="n">
        <v>0.384671117321327</v>
      </c>
      <c r="F34" s="1" t="n">
        <v>0.342443039141152</v>
      </c>
      <c r="G34" s="1" t="n">
        <v>0.343375819736326</v>
      </c>
      <c r="H34" s="1" t="n">
        <v>0.36089089028162</v>
      </c>
      <c r="I34" s="1" t="n">
        <v>0.342443039141152</v>
      </c>
      <c r="J34" s="1" t="n">
        <v>0.0467006554596202</v>
      </c>
    </row>
    <row r="35" customFormat="false" ht="15" hidden="false" customHeight="false" outlineLevel="0" collapsed="false">
      <c r="A35" s="1" t="s">
        <v>22</v>
      </c>
      <c r="B35" s="1" t="s">
        <v>23</v>
      </c>
      <c r="C35" s="1" t="s">
        <v>13</v>
      </c>
      <c r="D35" s="1" t="s">
        <v>14</v>
      </c>
      <c r="E35" s="1" t="n">
        <v>0.383260880815608</v>
      </c>
      <c r="F35" s="1" t="n">
        <v>0.364320846868017</v>
      </c>
      <c r="G35" s="1" t="n">
        <v>0.349635338938954</v>
      </c>
      <c r="H35" s="1" t="n">
        <v>0.347663276156119</v>
      </c>
      <c r="I35" s="1" t="n">
        <v>0.364320846868017</v>
      </c>
      <c r="J35" s="1" t="n">
        <v>0.0406305265714237</v>
      </c>
    </row>
    <row r="36" customFormat="false" ht="15" hidden="false" customHeight="false" outlineLevel="0" collapsed="false">
      <c r="A36" s="1" t="s">
        <v>23</v>
      </c>
      <c r="B36" s="1" t="s">
        <v>23</v>
      </c>
      <c r="C36" s="1" t="s">
        <v>18</v>
      </c>
      <c r="D36" s="1" t="s">
        <v>14</v>
      </c>
      <c r="E36" s="1" t="n">
        <v>0.383235004916421</v>
      </c>
      <c r="F36" s="1" t="n">
        <v>0.299707228480813</v>
      </c>
      <c r="G36" s="1" t="n">
        <v>0.29893822959563</v>
      </c>
      <c r="H36" s="1" t="n">
        <v>0.307210142686225</v>
      </c>
      <c r="I36" s="1" t="n">
        <v>0.299707228480813</v>
      </c>
      <c r="J36" s="1" t="n">
        <v>0.0444540954121773</v>
      </c>
    </row>
    <row r="37" customFormat="false" ht="15" hidden="false" customHeight="false" outlineLevel="0" collapsed="false">
      <c r="A37" s="1" t="s">
        <v>24</v>
      </c>
      <c r="B37" s="1" t="s">
        <v>23</v>
      </c>
      <c r="C37" s="1" t="s">
        <v>13</v>
      </c>
      <c r="D37" s="1" t="s">
        <v>14</v>
      </c>
      <c r="E37" s="1" t="n">
        <v>0.371526160534079</v>
      </c>
      <c r="F37" s="1" t="n">
        <v>0.334768777693306</v>
      </c>
      <c r="G37" s="1" t="n">
        <v>0.332979671657835</v>
      </c>
      <c r="H37" s="1" t="n">
        <v>0.35706902786222</v>
      </c>
      <c r="I37" s="1" t="n">
        <v>0.334768777693306</v>
      </c>
      <c r="J37" s="1" t="n">
        <v>0.0561748364959596</v>
      </c>
    </row>
    <row r="38" customFormat="false" ht="15" hidden="false" customHeight="false" outlineLevel="0" collapsed="false">
      <c r="A38" s="1" t="s">
        <v>61</v>
      </c>
      <c r="B38" s="1" t="s">
        <v>23</v>
      </c>
      <c r="C38" s="1" t="s">
        <v>13</v>
      </c>
      <c r="D38" s="1" t="s">
        <v>14</v>
      </c>
      <c r="E38" s="1" t="n">
        <v>0.365729959116079</v>
      </c>
      <c r="F38" s="1" t="n">
        <v>0.347087643314058</v>
      </c>
      <c r="G38" s="1" t="n">
        <v>0.345255785020265</v>
      </c>
      <c r="H38" s="1" t="n">
        <v>0.363067123231238</v>
      </c>
      <c r="I38" s="1" t="n">
        <v>0.347087643314058</v>
      </c>
      <c r="J38" s="1" t="n">
        <v>0.0467766004343896</v>
      </c>
    </row>
    <row r="39" customFormat="false" ht="15" hidden="false" customHeight="false" outlineLevel="0" collapsed="false">
      <c r="A39" s="1" t="s">
        <v>67</v>
      </c>
      <c r="B39" s="1" t="s">
        <v>17</v>
      </c>
      <c r="C39" s="1" t="s">
        <v>13</v>
      </c>
      <c r="D39" s="1" t="s">
        <v>14</v>
      </c>
      <c r="E39" s="1" t="n">
        <v>0.356867463644362</v>
      </c>
      <c r="F39" s="1" t="n">
        <v>0.387071785656691</v>
      </c>
      <c r="G39" s="1" t="n">
        <v>0.327631826316859</v>
      </c>
      <c r="H39" s="1" t="n">
        <v>0.328757728552572</v>
      </c>
      <c r="I39" s="1" t="n">
        <v>0.387071785656691</v>
      </c>
      <c r="J39" s="1" t="n">
        <v>0.0363599871567669</v>
      </c>
    </row>
    <row r="40" customFormat="false" ht="15" hidden="false" customHeight="false" outlineLevel="0" collapsed="false">
      <c r="A40" s="1" t="s">
        <v>66</v>
      </c>
      <c r="B40" s="1" t="s">
        <v>17</v>
      </c>
      <c r="C40" s="1" t="s">
        <v>13</v>
      </c>
      <c r="D40" s="1" t="s">
        <v>14</v>
      </c>
      <c r="E40" s="1" t="n">
        <v>0.349583398023081</v>
      </c>
      <c r="F40" s="1" t="n">
        <v>0.377681595134425</v>
      </c>
      <c r="G40" s="1" t="n">
        <v>0.335790568434344</v>
      </c>
      <c r="H40" s="1" t="n">
        <v>0.341834190235411</v>
      </c>
      <c r="I40" s="1" t="n">
        <v>0.377681595134425</v>
      </c>
      <c r="J40" s="1" t="n">
        <v>0.0411601684131472</v>
      </c>
    </row>
    <row r="41" customFormat="false" ht="15" hidden="false" customHeight="false" outlineLevel="0" collapsed="false">
      <c r="A41" s="1" t="s">
        <v>55</v>
      </c>
      <c r="B41" s="1" t="s">
        <v>17</v>
      </c>
      <c r="C41" s="1" t="s">
        <v>13</v>
      </c>
      <c r="D41" s="1" t="s">
        <v>14</v>
      </c>
      <c r="E41" s="1" t="n">
        <v>0.342234642653832</v>
      </c>
      <c r="F41" s="1" t="n">
        <v>0.378011035086507</v>
      </c>
      <c r="G41" s="1" t="n">
        <v>0.323704044053901</v>
      </c>
      <c r="H41" s="1" t="n">
        <v>0.331566342158692</v>
      </c>
      <c r="I41" s="1" t="n">
        <v>0.378011035086507</v>
      </c>
      <c r="J41" s="1" t="n">
        <v>0.0398345380295273</v>
      </c>
    </row>
    <row r="42" customFormat="false" ht="15" hidden="false" customHeight="false" outlineLevel="0" collapsed="false">
      <c r="A42" s="1" t="s">
        <v>72</v>
      </c>
      <c r="B42" s="1" t="s">
        <v>1</v>
      </c>
      <c r="C42" s="1" t="s">
        <v>13</v>
      </c>
      <c r="D42" s="1" t="s">
        <v>14</v>
      </c>
      <c r="E42" s="1" t="n">
        <v>0.33656782073177</v>
      </c>
      <c r="F42" s="1" t="n">
        <v>0.391452415509019</v>
      </c>
      <c r="G42" s="1" t="n">
        <v>0.347866376111785</v>
      </c>
      <c r="H42" s="1" t="n">
        <v>0.347140284730471</v>
      </c>
      <c r="I42" s="1" t="n">
        <v>0.391452415509019</v>
      </c>
      <c r="J42" s="1" t="n">
        <v>0.064695497058153</v>
      </c>
    </row>
    <row r="43" customFormat="false" ht="15" hidden="false" customHeight="false" outlineLevel="0" collapsed="false">
      <c r="A43" s="1" t="s">
        <v>53</v>
      </c>
      <c r="B43" s="1" t="s">
        <v>17</v>
      </c>
      <c r="C43" s="1" t="s">
        <v>13</v>
      </c>
      <c r="D43" s="1" t="s">
        <v>14</v>
      </c>
      <c r="E43" s="1" t="n">
        <v>0.336231434042333</v>
      </c>
      <c r="F43" s="1" t="n">
        <v>0.366332043218836</v>
      </c>
      <c r="G43" s="1" t="n">
        <v>0.315609925403375</v>
      </c>
      <c r="H43" s="1" t="n">
        <v>0.311944295655658</v>
      </c>
      <c r="I43" s="1" t="n">
        <v>0.366332043218836</v>
      </c>
      <c r="J43" s="1" t="n">
        <v>0.0261733229458991</v>
      </c>
    </row>
    <row r="44" customFormat="false" ht="15" hidden="false" customHeight="false" outlineLevel="0" collapsed="false">
      <c r="A44" s="1" t="s">
        <v>38</v>
      </c>
      <c r="B44" s="1" t="s">
        <v>26</v>
      </c>
      <c r="C44" s="1" t="s">
        <v>13</v>
      </c>
      <c r="D44" s="1" t="s">
        <v>14</v>
      </c>
      <c r="E44" s="1" t="n">
        <v>0.328740361227553</v>
      </c>
      <c r="F44" s="1" t="n">
        <v>0.366367367782462</v>
      </c>
      <c r="G44" s="1" t="n">
        <v>0.325038446625545</v>
      </c>
      <c r="H44" s="1" t="n">
        <v>0.356663087699399</v>
      </c>
      <c r="I44" s="1" t="n">
        <v>0.366367367782462</v>
      </c>
      <c r="J44" s="1" t="n">
        <v>0.068169445474363</v>
      </c>
    </row>
    <row r="45" customFormat="false" ht="15" hidden="false" customHeight="false" outlineLevel="0" collapsed="false">
      <c r="A45" s="1" t="s">
        <v>46</v>
      </c>
      <c r="B45" s="1" t="s">
        <v>23</v>
      </c>
      <c r="C45" s="1" t="s">
        <v>13</v>
      </c>
      <c r="D45" s="1" t="s">
        <v>14</v>
      </c>
      <c r="E45" s="1" t="n">
        <v>0.321650364850179</v>
      </c>
      <c r="F45" s="1" t="n">
        <v>0.364618417920305</v>
      </c>
      <c r="G45" s="1" t="n">
        <v>0.319641828055449</v>
      </c>
      <c r="H45" s="1" t="n">
        <v>0.338949983366772</v>
      </c>
      <c r="I45" s="1" t="n">
        <v>0.364618417920305</v>
      </c>
      <c r="J45" s="1" t="n">
        <v>0.0322065899001516</v>
      </c>
    </row>
    <row r="46" customFormat="false" ht="15" hidden="false" customHeight="false" outlineLevel="0" collapsed="false">
      <c r="A46" s="1" t="s">
        <v>63</v>
      </c>
      <c r="B46" s="1" t="s">
        <v>23</v>
      </c>
      <c r="C46" s="1" t="s">
        <v>13</v>
      </c>
      <c r="D46" s="1" t="s">
        <v>14</v>
      </c>
      <c r="E46" s="1" t="n">
        <v>0.318700512342804</v>
      </c>
      <c r="F46" s="1" t="n">
        <v>0.351211594136122</v>
      </c>
      <c r="G46" s="1" t="n">
        <v>0.309398176236002</v>
      </c>
      <c r="H46" s="1" t="n">
        <v>0.319188685723095</v>
      </c>
      <c r="I46" s="1" t="n">
        <v>0.351211594136122</v>
      </c>
      <c r="J46" s="1" t="n">
        <v>0.0538414776617607</v>
      </c>
    </row>
    <row r="47" customFormat="false" ht="15" hidden="false" customHeight="false" outlineLevel="0" collapsed="false">
      <c r="A47" s="1" t="s">
        <v>54</v>
      </c>
      <c r="B47" s="1" t="s">
        <v>17</v>
      </c>
      <c r="C47" s="1" t="s">
        <v>13</v>
      </c>
      <c r="D47" s="1" t="s">
        <v>14</v>
      </c>
      <c r="E47" s="1" t="n">
        <v>0.318571132846866</v>
      </c>
      <c r="F47" s="1" t="n">
        <v>0.345767771711168</v>
      </c>
      <c r="G47" s="1" t="n">
        <v>0.298018450323668</v>
      </c>
      <c r="H47" s="1" t="n">
        <v>0.303975660771639</v>
      </c>
      <c r="I47" s="1" t="n">
        <v>0.345767771711168</v>
      </c>
      <c r="J47" s="1" t="n">
        <v>0.0286547805742617</v>
      </c>
    </row>
    <row r="48" customFormat="false" ht="15" hidden="false" customHeight="false" outlineLevel="0" collapsed="false">
      <c r="A48" s="1" t="s">
        <v>44</v>
      </c>
      <c r="B48" s="1" t="s">
        <v>23</v>
      </c>
      <c r="C48" s="1" t="s">
        <v>13</v>
      </c>
      <c r="D48" s="1" t="s">
        <v>14</v>
      </c>
      <c r="E48" s="1" t="n">
        <v>0.317147958391554</v>
      </c>
      <c r="F48" s="1" t="n">
        <v>0.341823707389745</v>
      </c>
      <c r="G48" s="1" t="n">
        <v>0.297848522560692</v>
      </c>
      <c r="H48" s="1" t="n">
        <v>0.315300749974362</v>
      </c>
      <c r="I48" s="1" t="n">
        <v>0.341823707389745</v>
      </c>
      <c r="J48" s="1" t="n">
        <v>0.041125545673773</v>
      </c>
    </row>
    <row r="49" customFormat="false" ht="15" hidden="false" customHeight="false" outlineLevel="0" collapsed="false">
      <c r="A49" s="1" t="s">
        <v>40</v>
      </c>
      <c r="B49" s="1" t="s">
        <v>1</v>
      </c>
      <c r="C49" s="1" t="s">
        <v>13</v>
      </c>
      <c r="D49" s="1" t="s">
        <v>14</v>
      </c>
      <c r="E49" s="1" t="n">
        <v>0.317083268643585</v>
      </c>
      <c r="F49" s="1" t="n">
        <v>0.397090139071271</v>
      </c>
      <c r="G49" s="1" t="n">
        <v>0.327953377791079</v>
      </c>
      <c r="H49" s="1" t="n">
        <v>0.332959671208068</v>
      </c>
      <c r="I49" s="1" t="n">
        <v>0.397090139071271</v>
      </c>
      <c r="J49" s="1" t="n">
        <v>0.033740085082667</v>
      </c>
    </row>
    <row r="50" customFormat="false" ht="15" hidden="false" customHeight="false" outlineLevel="0" collapsed="false">
      <c r="A50" s="1" t="s">
        <v>62</v>
      </c>
      <c r="B50" s="1" t="s">
        <v>23</v>
      </c>
      <c r="C50" s="1" t="s">
        <v>13</v>
      </c>
      <c r="D50" s="1" t="s">
        <v>14</v>
      </c>
      <c r="E50" s="1" t="n">
        <v>0.314275733581742</v>
      </c>
      <c r="F50" s="1" t="n">
        <v>0.33782320055905</v>
      </c>
      <c r="G50" s="1" t="n">
        <v>0.29651161291984</v>
      </c>
      <c r="H50" s="1" t="n">
        <v>0.310243041581951</v>
      </c>
      <c r="I50" s="1" t="n">
        <v>0.33782320055905</v>
      </c>
      <c r="J50" s="1" t="n">
        <v>0.0263411925802885</v>
      </c>
    </row>
    <row r="51" customFormat="false" ht="15" hidden="false" customHeight="false" outlineLevel="0" collapsed="false">
      <c r="A51" s="1" t="s">
        <v>39</v>
      </c>
      <c r="B51" s="1" t="s">
        <v>26</v>
      </c>
      <c r="C51" s="1" t="s">
        <v>13</v>
      </c>
      <c r="D51" s="1" t="s">
        <v>14</v>
      </c>
      <c r="E51" s="1" t="n">
        <v>0.314146354085805</v>
      </c>
      <c r="F51" s="1" t="n">
        <v>0.345933259612505</v>
      </c>
      <c r="G51" s="1" t="n">
        <v>0.309213117873845</v>
      </c>
      <c r="H51" s="1" t="n">
        <v>0.341821184064762</v>
      </c>
      <c r="I51" s="1" t="n">
        <v>0.345933259612505</v>
      </c>
      <c r="J51" s="1" t="n">
        <v>0.0494238972384609</v>
      </c>
    </row>
    <row r="52" customFormat="false" ht="15" hidden="false" customHeight="false" outlineLevel="0" collapsed="false">
      <c r="A52" s="1" t="s">
        <v>42</v>
      </c>
      <c r="B52" s="1" t="s">
        <v>1</v>
      </c>
      <c r="C52" s="1" t="s">
        <v>13</v>
      </c>
      <c r="D52" s="1" t="s">
        <v>14</v>
      </c>
      <c r="E52" s="1" t="n">
        <v>0.312865497076023</v>
      </c>
      <c r="F52" s="1" t="n">
        <v>0.3953897604841</v>
      </c>
      <c r="G52" s="1" t="n">
        <v>0.327316833196643</v>
      </c>
      <c r="H52" s="1" t="n">
        <v>0.339592178017938</v>
      </c>
      <c r="I52" s="1" t="n">
        <v>0.3953897604841</v>
      </c>
      <c r="J52" s="1" t="n">
        <v>0.0455875006254674</v>
      </c>
    </row>
    <row r="53" customFormat="false" ht="15" hidden="false" customHeight="false" outlineLevel="0" collapsed="false">
      <c r="A53" s="1" t="s">
        <v>43</v>
      </c>
      <c r="B53" s="1" t="s">
        <v>26</v>
      </c>
      <c r="C53" s="1" t="s">
        <v>13</v>
      </c>
      <c r="D53" s="1" t="s">
        <v>14</v>
      </c>
      <c r="E53" s="1" t="n">
        <v>0.309708637375149</v>
      </c>
      <c r="F53" s="1" t="n">
        <v>0.344042051589221</v>
      </c>
      <c r="G53" s="1" t="n">
        <v>0.316981620845717</v>
      </c>
      <c r="H53" s="1" t="n">
        <v>0.342921314159148</v>
      </c>
      <c r="I53" s="1" t="n">
        <v>0.344042051589221</v>
      </c>
      <c r="J53" s="1" t="n">
        <v>0.0371672371768493</v>
      </c>
    </row>
    <row r="54" customFormat="false" ht="15" hidden="false" customHeight="false" outlineLevel="0" collapsed="false">
      <c r="A54" s="1" t="s">
        <v>56</v>
      </c>
      <c r="B54" s="1" t="s">
        <v>17</v>
      </c>
      <c r="C54" s="1" t="s">
        <v>13</v>
      </c>
      <c r="D54" s="1" t="s">
        <v>14</v>
      </c>
      <c r="E54" s="1" t="n">
        <v>0.302411633804275</v>
      </c>
      <c r="F54" s="1" t="n">
        <v>0.363707850500303</v>
      </c>
      <c r="G54" s="1" t="n">
        <v>0.290727260350018</v>
      </c>
      <c r="H54" s="1" t="n">
        <v>0.297843703821612</v>
      </c>
      <c r="I54" s="1" t="n">
        <v>0.363707850500303</v>
      </c>
      <c r="J54" s="1" t="n">
        <v>0.035731233815981</v>
      </c>
    </row>
    <row r="55" customFormat="false" ht="15" hidden="false" customHeight="false" outlineLevel="0" collapsed="false">
      <c r="A55" s="1" t="s">
        <v>48</v>
      </c>
      <c r="B55" s="1" t="s">
        <v>26</v>
      </c>
      <c r="C55" s="1" t="s">
        <v>13</v>
      </c>
      <c r="D55" s="1" t="s">
        <v>14</v>
      </c>
      <c r="E55" s="1" t="n">
        <v>0.299435905397713</v>
      </c>
      <c r="F55" s="1" t="n">
        <v>0.317704709685842</v>
      </c>
      <c r="G55" s="1" t="n">
        <v>0.292573830022953</v>
      </c>
      <c r="H55" s="1" t="n">
        <v>0.372409423853465</v>
      </c>
      <c r="I55" s="1" t="n">
        <v>0.317704709685842</v>
      </c>
      <c r="J55" s="1" t="n">
        <v>0.0575302861312929</v>
      </c>
    </row>
    <row r="56" customFormat="false" ht="15" hidden="false" customHeight="false" outlineLevel="0" collapsed="false">
      <c r="A56" s="1" t="s">
        <v>58</v>
      </c>
      <c r="B56" s="1" t="s">
        <v>26</v>
      </c>
      <c r="C56" s="1" t="s">
        <v>13</v>
      </c>
      <c r="D56" s="1" t="s">
        <v>14</v>
      </c>
      <c r="E56" s="1" t="n">
        <v>0.296744811882213</v>
      </c>
      <c r="F56" s="1" t="n">
        <v>0.341223189808095</v>
      </c>
      <c r="G56" s="1" t="n">
        <v>0.312419949614611</v>
      </c>
      <c r="H56" s="1" t="n">
        <v>0.369928934197663</v>
      </c>
      <c r="I56" s="1" t="n">
        <v>0.341223189808095</v>
      </c>
      <c r="J56" s="1" t="n">
        <v>0.066104248473703</v>
      </c>
    </row>
    <row r="57" customFormat="false" ht="15" hidden="false" customHeight="false" outlineLevel="0" collapsed="false">
      <c r="A57" s="1" t="s">
        <v>52</v>
      </c>
      <c r="B57" s="1" t="s">
        <v>23</v>
      </c>
      <c r="C57" s="1" t="s">
        <v>13</v>
      </c>
      <c r="D57" s="1" t="s">
        <v>14</v>
      </c>
      <c r="E57" s="1" t="n">
        <v>0.287817626662527</v>
      </c>
      <c r="F57" s="1" t="n">
        <v>0.303658012148578</v>
      </c>
      <c r="G57" s="1" t="n">
        <v>0.270442358361711</v>
      </c>
      <c r="H57" s="1" t="n">
        <v>0.281737171488962</v>
      </c>
      <c r="I57" s="1" t="n">
        <v>0.303658012148578</v>
      </c>
      <c r="J57" s="1" t="n">
        <v>0.0537936449243873</v>
      </c>
    </row>
    <row r="58" customFormat="false" ht="15" hidden="false" customHeight="false" outlineLevel="0" collapsed="false">
      <c r="A58" s="1" t="s">
        <v>50</v>
      </c>
      <c r="B58" s="1" t="s">
        <v>23</v>
      </c>
      <c r="C58" s="1" t="s">
        <v>13</v>
      </c>
      <c r="D58" s="1" t="s">
        <v>14</v>
      </c>
      <c r="E58" s="1" t="n">
        <v>0.286420328106402</v>
      </c>
      <c r="F58" s="1" t="n">
        <v>0.355444590350251</v>
      </c>
      <c r="G58" s="1" t="n">
        <v>0.305532955858234</v>
      </c>
      <c r="H58" s="1" t="n">
        <v>0.324833362758605</v>
      </c>
      <c r="I58" s="1" t="n">
        <v>0.355444590350251</v>
      </c>
      <c r="J58" s="1" t="n">
        <v>0.0375463572572125</v>
      </c>
    </row>
    <row r="59" customFormat="false" ht="15" hidden="false" customHeight="false" outlineLevel="0" collapsed="false">
      <c r="A59" s="1" t="s">
        <v>59</v>
      </c>
      <c r="B59" s="1" t="s">
        <v>26</v>
      </c>
      <c r="C59" s="1" t="s">
        <v>13</v>
      </c>
      <c r="D59" s="1" t="s">
        <v>14</v>
      </c>
      <c r="E59" s="1" t="n">
        <v>0.273029550276872</v>
      </c>
      <c r="F59" s="1" t="n">
        <v>0.335667058308568</v>
      </c>
      <c r="G59" s="1" t="n">
        <v>0.280617973438579</v>
      </c>
      <c r="H59" s="1" t="n">
        <v>0.337487307664026</v>
      </c>
      <c r="I59" s="1" t="n">
        <v>0.335667058308568</v>
      </c>
      <c r="J59" s="1" t="n">
        <v>0.0409204340764667</v>
      </c>
    </row>
    <row r="60" customFormat="false" ht="15" hidden="false" customHeight="false" outlineLevel="0" collapsed="false">
      <c r="A60" s="1" t="s">
        <v>45</v>
      </c>
      <c r="B60" s="1" t="s">
        <v>1</v>
      </c>
      <c r="C60" s="1" t="s">
        <v>13</v>
      </c>
      <c r="D60" s="1" t="s">
        <v>14</v>
      </c>
      <c r="E60" s="1" t="n">
        <v>0.26142420949128</v>
      </c>
      <c r="F60" s="1" t="n">
        <v>0.42083650102518</v>
      </c>
      <c r="G60" s="1" t="n">
        <v>0.306808448273715</v>
      </c>
      <c r="H60" s="1" t="n">
        <v>0.28012081574878</v>
      </c>
      <c r="I60" s="1" t="n">
        <v>0.42083650102518</v>
      </c>
      <c r="J60" s="1" t="n">
        <v>0.043629663549094</v>
      </c>
    </row>
    <row r="61" customFormat="false" ht="15" hidden="false" customHeight="false" outlineLevel="0" collapsed="false">
      <c r="A61" s="1" t="s">
        <v>49</v>
      </c>
      <c r="B61" s="1" t="s">
        <v>17</v>
      </c>
      <c r="C61" s="1" t="s">
        <v>13</v>
      </c>
      <c r="D61" s="1" t="s">
        <v>14</v>
      </c>
      <c r="E61" s="1" t="n">
        <v>0.24230191999172</v>
      </c>
      <c r="F61" s="1" t="n">
        <v>0.385153316285392</v>
      </c>
      <c r="G61" s="1" t="n">
        <v>0.279061158334319</v>
      </c>
      <c r="H61" s="1" t="n">
        <v>0.352141114090944</v>
      </c>
      <c r="I61" s="1" t="n">
        <v>0.385153316285392</v>
      </c>
      <c r="J61" s="1" t="n">
        <v>0.0424123617161681</v>
      </c>
    </row>
    <row r="62" customFormat="false" ht="15" hidden="false" customHeight="false" outlineLevel="0" collapsed="false">
      <c r="A62" s="1" t="s">
        <v>47</v>
      </c>
      <c r="B62" s="1" t="s">
        <v>23</v>
      </c>
      <c r="C62" s="1" t="s">
        <v>13</v>
      </c>
      <c r="D62" s="1" t="s">
        <v>14</v>
      </c>
      <c r="E62" s="1" t="n">
        <v>0.205545205195881</v>
      </c>
      <c r="F62" s="1" t="n">
        <v>0.326323903210696</v>
      </c>
      <c r="G62" s="1" t="n">
        <v>0.235484406572963</v>
      </c>
      <c r="H62" s="1" t="n">
        <v>0.215532921732096</v>
      </c>
      <c r="I62" s="1" t="n">
        <v>0.326323903210696</v>
      </c>
      <c r="J62" s="1" t="n">
        <v>0.0448794440547852</v>
      </c>
    </row>
    <row r="63" customFormat="false" ht="15" hidden="false" customHeight="false" outlineLevel="0" collapsed="false">
      <c r="A63" s="1" t="s">
        <v>51</v>
      </c>
      <c r="B63" s="1" t="s">
        <v>26</v>
      </c>
      <c r="C63" s="1" t="s">
        <v>13</v>
      </c>
      <c r="D63" s="1" t="s">
        <v>14</v>
      </c>
      <c r="E63" s="1" t="n">
        <v>0.180549086580759</v>
      </c>
      <c r="F63" s="1" t="n">
        <v>0.32964997964998</v>
      </c>
      <c r="G63" s="1" t="n">
        <v>0.216023401864305</v>
      </c>
      <c r="H63" s="1" t="n">
        <v>0.201480337390158</v>
      </c>
      <c r="I63" s="1" t="n">
        <v>0.32964997964998</v>
      </c>
      <c r="J63" s="1" t="n">
        <v>0.0499593502225579</v>
      </c>
    </row>
    <row r="64" customFormat="false" ht="15" hidden="false" customHeight="false" outlineLevel="0" collapsed="false">
      <c r="A64" s="1" t="s">
        <v>70</v>
      </c>
      <c r="B64" s="1" t="s">
        <v>1</v>
      </c>
      <c r="C64" s="1" t="s">
        <v>13</v>
      </c>
      <c r="D64" s="1" t="s">
        <v>74</v>
      </c>
      <c r="E64" s="1" t="n">
        <v>0.522822543083372</v>
      </c>
      <c r="F64" s="1" t="n">
        <v>0.436246841907219</v>
      </c>
      <c r="G64" s="1" t="n">
        <v>0.429748709390517</v>
      </c>
      <c r="H64" s="1" t="n">
        <v>0.445226110248588</v>
      </c>
      <c r="I64" s="1" t="n">
        <v>0.436246841907219</v>
      </c>
      <c r="J64" s="1" t="n">
        <v>0.0447651898874408</v>
      </c>
    </row>
    <row r="65" customFormat="false" ht="15" hidden="false" customHeight="false" outlineLevel="0" collapsed="false">
      <c r="A65" s="1" t="s">
        <v>21</v>
      </c>
      <c r="B65" s="1" t="s">
        <v>17</v>
      </c>
      <c r="C65" s="1" t="s">
        <v>13</v>
      </c>
      <c r="D65" s="1" t="s">
        <v>74</v>
      </c>
      <c r="E65" s="1" t="n">
        <v>0.521205299384154</v>
      </c>
      <c r="F65" s="1" t="n">
        <v>0.448962532924797</v>
      </c>
      <c r="G65" s="1" t="n">
        <v>0.432022988531198</v>
      </c>
      <c r="H65" s="1" t="n">
        <v>0.439422525308927</v>
      </c>
      <c r="I65" s="1" t="n">
        <v>0.448962532924797</v>
      </c>
      <c r="J65" s="1" t="n">
        <v>0.0381544738260758</v>
      </c>
    </row>
    <row r="66" customFormat="false" ht="15" hidden="false" customHeight="false" outlineLevel="0" collapsed="false">
      <c r="A66" s="1" t="s">
        <v>73</v>
      </c>
      <c r="B66" s="1" t="s">
        <v>1</v>
      </c>
      <c r="C66" s="1" t="s">
        <v>13</v>
      </c>
      <c r="D66" s="1" t="s">
        <v>74</v>
      </c>
      <c r="E66" s="1" t="n">
        <v>0.515331470268592</v>
      </c>
      <c r="F66" s="1" t="n">
        <v>0.407198915689482</v>
      </c>
      <c r="G66" s="1" t="n">
        <v>0.386697011683148</v>
      </c>
      <c r="H66" s="1" t="n">
        <v>0.414916455601376</v>
      </c>
      <c r="I66" s="1" t="n">
        <v>0.407198915689482</v>
      </c>
      <c r="J66" s="1" t="n">
        <v>0.0355482463454501</v>
      </c>
    </row>
    <row r="67" customFormat="false" ht="15" hidden="false" customHeight="false" outlineLevel="0" collapsed="false">
      <c r="A67" s="1" t="s">
        <v>68</v>
      </c>
      <c r="B67" s="1" t="s">
        <v>17</v>
      </c>
      <c r="C67" s="1" t="s">
        <v>13</v>
      </c>
      <c r="D67" s="1" t="s">
        <v>74</v>
      </c>
      <c r="E67" s="1" t="n">
        <v>0.513895357863686</v>
      </c>
      <c r="F67" s="1" t="n">
        <v>0.410069612428103</v>
      </c>
      <c r="G67" s="1" t="n">
        <v>0.395636673791267</v>
      </c>
      <c r="H67" s="1" t="n">
        <v>0.397496624797079</v>
      </c>
      <c r="I67" s="1" t="n">
        <v>0.410069612428103</v>
      </c>
      <c r="J67" s="1" t="n">
        <v>0.0313279870807194</v>
      </c>
    </row>
    <row r="68" customFormat="false" ht="15" hidden="false" customHeight="false" outlineLevel="0" collapsed="false">
      <c r="A68" s="1" t="s">
        <v>1</v>
      </c>
      <c r="B68" s="1" t="s">
        <v>1</v>
      </c>
      <c r="C68" s="1" t="s">
        <v>18</v>
      </c>
      <c r="D68" s="1" t="s">
        <v>74</v>
      </c>
      <c r="E68" s="1" t="n">
        <v>0.510971381255499</v>
      </c>
      <c r="F68" s="1" t="n">
        <v>0.351283011188672</v>
      </c>
      <c r="G68" s="1" t="n">
        <v>0.320772418352197</v>
      </c>
      <c r="H68" s="1" t="n">
        <v>0.384142032942582</v>
      </c>
      <c r="I68" s="1" t="n">
        <v>0.351283011188672</v>
      </c>
      <c r="J68" s="1" t="n">
        <v>0.0418094850242046</v>
      </c>
    </row>
    <row r="69" customFormat="false" ht="15" hidden="false" customHeight="false" outlineLevel="0" collapsed="false">
      <c r="A69" s="1" t="s">
        <v>16</v>
      </c>
      <c r="B69" s="1" t="s">
        <v>1</v>
      </c>
      <c r="C69" s="1" t="s">
        <v>13</v>
      </c>
      <c r="D69" s="1" t="s">
        <v>74</v>
      </c>
      <c r="E69" s="1" t="n">
        <v>0.51090669150753</v>
      </c>
      <c r="F69" s="1" t="n">
        <v>0.439066663594965</v>
      </c>
      <c r="G69" s="1" t="n">
        <v>0.425959363060599</v>
      </c>
      <c r="H69" s="1" t="n">
        <v>0.438663439466616</v>
      </c>
      <c r="I69" s="1" t="n">
        <v>0.439066663594965</v>
      </c>
      <c r="J69" s="1" t="n">
        <v>0.0453486690411808</v>
      </c>
    </row>
    <row r="70" customFormat="false" ht="15" hidden="false" customHeight="false" outlineLevel="0" collapsed="false">
      <c r="A70" s="1" t="s">
        <v>20</v>
      </c>
      <c r="B70" s="1" t="s">
        <v>17</v>
      </c>
      <c r="C70" s="1" t="s">
        <v>13</v>
      </c>
      <c r="D70" s="1" t="s">
        <v>74</v>
      </c>
      <c r="E70" s="1" t="n">
        <v>0.499314288671531</v>
      </c>
      <c r="F70" s="1" t="n">
        <v>0.409888574039517</v>
      </c>
      <c r="G70" s="1" t="n">
        <v>0.40155532248273</v>
      </c>
      <c r="H70" s="1" t="n">
        <v>0.421919160398461</v>
      </c>
      <c r="I70" s="1" t="n">
        <v>0.409888574039517</v>
      </c>
      <c r="J70" s="1" t="n">
        <v>0.0458377261916837</v>
      </c>
    </row>
    <row r="71" customFormat="false" ht="15" hidden="false" customHeight="false" outlineLevel="0" collapsed="false">
      <c r="A71" s="1" t="s">
        <v>19</v>
      </c>
      <c r="B71" s="1" t="s">
        <v>17</v>
      </c>
      <c r="C71" s="1" t="s">
        <v>13</v>
      </c>
      <c r="D71" s="1" t="s">
        <v>74</v>
      </c>
      <c r="E71" s="1" t="n">
        <v>0.496286808466594</v>
      </c>
      <c r="F71" s="1" t="n">
        <v>0.420141912594743</v>
      </c>
      <c r="G71" s="1" t="n">
        <v>0.415864202835111</v>
      </c>
      <c r="H71" s="1" t="n">
        <v>0.42140681995343</v>
      </c>
      <c r="I71" s="1" t="n">
        <v>0.420141912594743</v>
      </c>
      <c r="J71" s="1" t="n">
        <v>0.0364278009383384</v>
      </c>
    </row>
    <row r="72" customFormat="false" ht="15" hidden="false" customHeight="false" outlineLevel="0" collapsed="false">
      <c r="A72" s="1" t="s">
        <v>12</v>
      </c>
      <c r="B72" s="1" t="s">
        <v>1</v>
      </c>
      <c r="C72" s="1" t="s">
        <v>13</v>
      </c>
      <c r="D72" s="1" t="s">
        <v>74</v>
      </c>
      <c r="E72" s="1" t="n">
        <v>0.491965533302282</v>
      </c>
      <c r="F72" s="1" t="n">
        <v>0.395921356770413</v>
      </c>
      <c r="G72" s="1" t="n">
        <v>0.381919022870588</v>
      </c>
      <c r="H72" s="1" t="n">
        <v>0.396136276255805</v>
      </c>
      <c r="I72" s="1" t="n">
        <v>0.395921356770413</v>
      </c>
      <c r="J72" s="1" t="n">
        <v>0.0443966237221726</v>
      </c>
    </row>
    <row r="73" customFormat="false" ht="15" hidden="false" customHeight="false" outlineLevel="0" collapsed="false">
      <c r="A73" s="1" t="s">
        <v>17</v>
      </c>
      <c r="B73" s="1" t="s">
        <v>17</v>
      </c>
      <c r="C73" s="1" t="s">
        <v>18</v>
      </c>
      <c r="D73" s="1" t="s">
        <v>74</v>
      </c>
      <c r="E73" s="1" t="n">
        <v>0.484474460487502</v>
      </c>
      <c r="F73" s="1" t="n">
        <v>0.386263352301088</v>
      </c>
      <c r="G73" s="1" t="n">
        <v>0.380457287913426</v>
      </c>
      <c r="H73" s="1" t="n">
        <v>0.398025468220613</v>
      </c>
      <c r="I73" s="1" t="n">
        <v>0.386263352301088</v>
      </c>
      <c r="J73" s="1" t="n">
        <v>0.0379234868127618</v>
      </c>
    </row>
    <row r="74" customFormat="false" ht="15" hidden="false" customHeight="false" outlineLevel="0" collapsed="false">
      <c r="A74" s="1" t="s">
        <v>65</v>
      </c>
      <c r="B74" s="1" t="s">
        <v>17</v>
      </c>
      <c r="C74" s="1" t="s">
        <v>13</v>
      </c>
      <c r="D74" s="1" t="s">
        <v>74</v>
      </c>
      <c r="E74" s="1" t="n">
        <v>0.48315478962894</v>
      </c>
      <c r="F74" s="1" t="n">
        <v>0.409956727409558</v>
      </c>
      <c r="G74" s="1" t="n">
        <v>0.397315350469821</v>
      </c>
      <c r="H74" s="1" t="n">
        <v>0.408067663131602</v>
      </c>
      <c r="I74" s="1" t="n">
        <v>0.409956727409558</v>
      </c>
      <c r="J74" s="1" t="n">
        <v>0.050157162027175</v>
      </c>
    </row>
    <row r="75" customFormat="false" ht="15" hidden="false" customHeight="false" outlineLevel="0" collapsed="false">
      <c r="A75" s="1" t="s">
        <v>15</v>
      </c>
      <c r="B75" s="1" t="s">
        <v>1</v>
      </c>
      <c r="C75" s="1" t="s">
        <v>13</v>
      </c>
      <c r="D75" s="1" t="s">
        <v>74</v>
      </c>
      <c r="E75" s="1" t="n">
        <v>0.475806034259691</v>
      </c>
      <c r="F75" s="1" t="n">
        <v>0.378093587055851</v>
      </c>
      <c r="G75" s="1" t="n">
        <v>0.364585852032175</v>
      </c>
      <c r="H75" s="1" t="n">
        <v>0.369378606996838</v>
      </c>
      <c r="I75" s="1" t="n">
        <v>0.378093587055851</v>
      </c>
      <c r="J75" s="1" t="n">
        <v>0.0515847517526299</v>
      </c>
    </row>
    <row r="76" customFormat="false" ht="15" hidden="false" customHeight="false" outlineLevel="0" collapsed="false">
      <c r="A76" s="1" t="s">
        <v>30</v>
      </c>
      <c r="B76" s="1" t="s">
        <v>26</v>
      </c>
      <c r="C76" s="1" t="s">
        <v>13</v>
      </c>
      <c r="D76" s="1" t="s">
        <v>74</v>
      </c>
      <c r="E76" s="1" t="n">
        <v>0.469880453345754</v>
      </c>
      <c r="F76" s="1" t="n">
        <v>0.351499950084856</v>
      </c>
      <c r="G76" s="1" t="n">
        <v>0.336739230790729</v>
      </c>
      <c r="H76" s="1" t="n">
        <v>0.379699029264519</v>
      </c>
      <c r="I76" s="1" t="n">
        <v>0.351499950084856</v>
      </c>
      <c r="J76" s="1" t="n">
        <v>0.070067771425836</v>
      </c>
    </row>
    <row r="77" customFormat="false" ht="15" hidden="false" customHeight="false" outlineLevel="0" collapsed="false">
      <c r="A77" s="1" t="s">
        <v>33</v>
      </c>
      <c r="B77" s="1" t="s">
        <v>1</v>
      </c>
      <c r="C77" s="1" t="s">
        <v>13</v>
      </c>
      <c r="D77" s="1" t="s">
        <v>74</v>
      </c>
      <c r="E77" s="1" t="n">
        <v>0.463954872431817</v>
      </c>
      <c r="F77" s="1" t="n">
        <v>0.388652943841623</v>
      </c>
      <c r="G77" s="1" t="n">
        <v>0.356816574084845</v>
      </c>
      <c r="H77" s="1" t="n">
        <v>0.403343724742717</v>
      </c>
      <c r="I77" s="1" t="n">
        <v>0.388652943841623</v>
      </c>
      <c r="J77" s="1" t="n">
        <v>0.0408870367367713</v>
      </c>
    </row>
    <row r="78" customFormat="false" ht="15" hidden="false" customHeight="false" outlineLevel="0" collapsed="false">
      <c r="A78" s="1" t="s">
        <v>29</v>
      </c>
      <c r="B78" s="1" t="s">
        <v>17</v>
      </c>
      <c r="C78" s="1" t="s">
        <v>13</v>
      </c>
      <c r="D78" s="1" t="s">
        <v>74</v>
      </c>
      <c r="E78" s="1" t="n">
        <v>0.462505822077317</v>
      </c>
      <c r="F78" s="1" t="n">
        <v>0.381646009476198</v>
      </c>
      <c r="G78" s="1" t="n">
        <v>0.340544661908334</v>
      </c>
      <c r="H78" s="1" t="n">
        <v>0.342145029517095</v>
      </c>
      <c r="I78" s="1" t="n">
        <v>0.381646009476198</v>
      </c>
      <c r="J78" s="1" t="n">
        <v>0.0313801141887338</v>
      </c>
    </row>
    <row r="79" customFormat="false" ht="15" hidden="false" customHeight="false" outlineLevel="0" collapsed="false">
      <c r="A79" s="1" t="s">
        <v>32</v>
      </c>
      <c r="B79" s="1" t="s">
        <v>1</v>
      </c>
      <c r="C79" s="1" t="s">
        <v>13</v>
      </c>
      <c r="D79" s="1" t="s">
        <v>74</v>
      </c>
      <c r="E79" s="1" t="n">
        <v>0.458223360761786</v>
      </c>
      <c r="F79" s="1" t="n">
        <v>0.465105858502085</v>
      </c>
      <c r="G79" s="1" t="n">
        <v>0.409867236554254</v>
      </c>
      <c r="H79" s="1" t="n">
        <v>0.394164404583483</v>
      </c>
      <c r="I79" s="1" t="n">
        <v>0.465105858502085</v>
      </c>
      <c r="J79" s="1" t="n">
        <v>0.0309102350661183</v>
      </c>
    </row>
    <row r="80" customFormat="false" ht="15" hidden="false" customHeight="false" outlineLevel="0" collapsed="false">
      <c r="A80" s="1" t="s">
        <v>35</v>
      </c>
      <c r="B80" s="1" t="s">
        <v>26</v>
      </c>
      <c r="C80" s="1" t="s">
        <v>13</v>
      </c>
      <c r="D80" s="1" t="s">
        <v>74</v>
      </c>
      <c r="E80" s="1" t="n">
        <v>0.4463980748331</v>
      </c>
      <c r="F80" s="1" t="n">
        <v>0.345328326460402</v>
      </c>
      <c r="G80" s="1" t="n">
        <v>0.321377950387556</v>
      </c>
      <c r="H80" s="1" t="n">
        <v>0.342779896860482</v>
      </c>
      <c r="I80" s="1" t="n">
        <v>0.345328326460402</v>
      </c>
      <c r="J80" s="1" t="n">
        <v>0.0412583235748935</v>
      </c>
    </row>
    <row r="81" customFormat="false" ht="15" hidden="false" customHeight="false" outlineLevel="0" collapsed="false">
      <c r="A81" s="1" t="s">
        <v>25</v>
      </c>
      <c r="B81" s="1" t="s">
        <v>26</v>
      </c>
      <c r="C81" s="1" t="s">
        <v>13</v>
      </c>
      <c r="D81" s="1" t="s">
        <v>74</v>
      </c>
      <c r="E81" s="1" t="n">
        <v>0.44045955596957</v>
      </c>
      <c r="F81" s="1" t="n">
        <v>0.393727010236444</v>
      </c>
      <c r="G81" s="1" t="n">
        <v>0.399333658028704</v>
      </c>
      <c r="H81" s="1" t="n">
        <v>0.475152549813365</v>
      </c>
      <c r="I81" s="1" t="n">
        <v>0.393727010236444</v>
      </c>
      <c r="J81" s="1" t="n">
        <v>0.0514728786509686</v>
      </c>
    </row>
    <row r="82" customFormat="false" ht="15" hidden="false" customHeight="false" outlineLevel="0" collapsed="false">
      <c r="A82" s="1" t="s">
        <v>69</v>
      </c>
      <c r="B82" s="1" t="s">
        <v>1</v>
      </c>
      <c r="C82" s="1" t="s">
        <v>13</v>
      </c>
      <c r="D82" s="1" t="s">
        <v>74</v>
      </c>
      <c r="E82" s="1" t="n">
        <v>0.439152823060601</v>
      </c>
      <c r="F82" s="1" t="n">
        <v>0.388083335253147</v>
      </c>
      <c r="G82" s="1" t="n">
        <v>0.348964387418022</v>
      </c>
      <c r="H82" s="1" t="n">
        <v>0.347407500668945</v>
      </c>
      <c r="I82" s="1" t="n">
        <v>0.388083335253147</v>
      </c>
      <c r="J82" s="1" t="n">
        <v>0.0566267355468317</v>
      </c>
    </row>
    <row r="83" customFormat="false" ht="15" hidden="false" customHeight="false" outlineLevel="0" collapsed="false">
      <c r="A83" s="1" t="s">
        <v>34</v>
      </c>
      <c r="B83" s="1" t="s">
        <v>17</v>
      </c>
      <c r="C83" s="1" t="s">
        <v>13</v>
      </c>
      <c r="D83" s="1" t="s">
        <v>74</v>
      </c>
      <c r="E83" s="1" t="n">
        <v>0.430342079387259</v>
      </c>
      <c r="F83" s="1" t="n">
        <v>0.366864023467797</v>
      </c>
      <c r="G83" s="1" t="n">
        <v>0.34240540991803</v>
      </c>
      <c r="H83" s="1" t="n">
        <v>0.332349854214675</v>
      </c>
      <c r="I83" s="1" t="n">
        <v>0.366864023467797</v>
      </c>
      <c r="J83" s="1" t="n">
        <v>0.0471779930383851</v>
      </c>
    </row>
    <row r="84" customFormat="false" ht="15" hidden="false" customHeight="false" outlineLevel="0" collapsed="false">
      <c r="A84" s="1" t="s">
        <v>36</v>
      </c>
      <c r="B84" s="1" t="s">
        <v>26</v>
      </c>
      <c r="C84" s="1" t="s">
        <v>13</v>
      </c>
      <c r="D84" s="1" t="s">
        <v>74</v>
      </c>
      <c r="E84" s="1" t="n">
        <v>0.430225637840915</v>
      </c>
      <c r="F84" s="1" t="n">
        <v>0.343512375116149</v>
      </c>
      <c r="G84" s="1" t="n">
        <v>0.330215859890835</v>
      </c>
      <c r="H84" s="1" t="n">
        <v>0.38354354103138</v>
      </c>
      <c r="I84" s="1" t="n">
        <v>0.343512375116149</v>
      </c>
      <c r="J84" s="1" t="n">
        <v>0.0838553472116967</v>
      </c>
    </row>
    <row r="85" customFormat="false" ht="15" hidden="false" customHeight="false" outlineLevel="0" collapsed="false">
      <c r="A85" s="1" t="s">
        <v>41</v>
      </c>
      <c r="B85" s="1" t="s">
        <v>23</v>
      </c>
      <c r="C85" s="1" t="s">
        <v>13</v>
      </c>
      <c r="D85" s="1" t="s">
        <v>74</v>
      </c>
      <c r="E85" s="1" t="n">
        <v>0.427340475081509</v>
      </c>
      <c r="F85" s="1" t="n">
        <v>0.350818032421806</v>
      </c>
      <c r="G85" s="1" t="n">
        <v>0.347186617072682</v>
      </c>
      <c r="H85" s="1" t="n">
        <v>0.36061611449032</v>
      </c>
      <c r="I85" s="1" t="n">
        <v>0.350818032421806</v>
      </c>
      <c r="J85" s="1" t="n">
        <v>0.032885175931795</v>
      </c>
    </row>
    <row r="86" customFormat="false" ht="15" hidden="false" customHeight="false" outlineLevel="0" collapsed="false">
      <c r="A86" s="1" t="s">
        <v>26</v>
      </c>
      <c r="B86" s="1" t="s">
        <v>26</v>
      </c>
      <c r="C86" s="1" t="s">
        <v>18</v>
      </c>
      <c r="D86" s="1" t="s">
        <v>74</v>
      </c>
      <c r="E86" s="1" t="n">
        <v>0.425787921130259</v>
      </c>
      <c r="F86" s="1" t="n">
        <v>0.333593660008754</v>
      </c>
      <c r="G86" s="1" t="n">
        <v>0.314812503637135</v>
      </c>
      <c r="H86" s="1" t="n">
        <v>0.323913600652507</v>
      </c>
      <c r="I86" s="1" t="n">
        <v>0.333593660008754</v>
      </c>
      <c r="J86" s="1" t="n">
        <v>0.0268015882206296</v>
      </c>
    </row>
    <row r="87" customFormat="false" ht="15" hidden="false" customHeight="false" outlineLevel="0" collapsed="false">
      <c r="A87" s="1" t="s">
        <v>60</v>
      </c>
      <c r="B87" s="1" t="s">
        <v>26</v>
      </c>
      <c r="C87" s="1" t="s">
        <v>13</v>
      </c>
      <c r="D87" s="1" t="s">
        <v>74</v>
      </c>
      <c r="E87" s="1" t="n">
        <v>0.424494126170884</v>
      </c>
      <c r="F87" s="1" t="n">
        <v>0.341373703166156</v>
      </c>
      <c r="G87" s="1" t="n">
        <v>0.340147897336142</v>
      </c>
      <c r="H87" s="1" t="n">
        <v>0.374049823871218</v>
      </c>
      <c r="I87" s="1" t="n">
        <v>0.341373703166156</v>
      </c>
      <c r="J87" s="1" t="n">
        <v>0.038879859171974</v>
      </c>
    </row>
    <row r="88" customFormat="false" ht="15" hidden="false" customHeight="false" outlineLevel="0" collapsed="false">
      <c r="A88" s="1" t="s">
        <v>24</v>
      </c>
      <c r="B88" s="1" t="s">
        <v>23</v>
      </c>
      <c r="C88" s="1" t="s">
        <v>13</v>
      </c>
      <c r="D88" s="1" t="s">
        <v>74</v>
      </c>
      <c r="E88" s="1" t="n">
        <v>0.424364746674947</v>
      </c>
      <c r="F88" s="1" t="n">
        <v>0.364225048187312</v>
      </c>
      <c r="G88" s="1" t="n">
        <v>0.366339860629225</v>
      </c>
      <c r="H88" s="1" t="n">
        <v>0.381636453392185</v>
      </c>
      <c r="I88" s="1" t="n">
        <v>0.364225048187312</v>
      </c>
      <c r="J88" s="1" t="n">
        <v>0.0352484679071449</v>
      </c>
    </row>
    <row r="89" customFormat="false" ht="15" hidden="false" customHeight="false" outlineLevel="0" collapsed="false">
      <c r="A89" s="1" t="s">
        <v>64</v>
      </c>
      <c r="B89" s="1" t="s">
        <v>23</v>
      </c>
      <c r="C89" s="1" t="s">
        <v>13</v>
      </c>
      <c r="D89" s="1" t="s">
        <v>74</v>
      </c>
      <c r="E89" s="1" t="n">
        <v>0.415450499404854</v>
      </c>
      <c r="F89" s="1" t="n">
        <v>0.389580021655493</v>
      </c>
      <c r="G89" s="1" t="n">
        <v>0.383829736087579</v>
      </c>
      <c r="H89" s="1" t="n">
        <v>0.391731433094391</v>
      </c>
      <c r="I89" s="1" t="n">
        <v>0.389580021655493</v>
      </c>
      <c r="J89" s="1" t="n">
        <v>0.0370796451725427</v>
      </c>
    </row>
    <row r="90" customFormat="false" ht="15" hidden="false" customHeight="false" outlineLevel="0" collapsed="false">
      <c r="A90" s="1" t="s">
        <v>71</v>
      </c>
      <c r="B90" s="1" t="s">
        <v>1</v>
      </c>
      <c r="C90" s="1" t="s">
        <v>13</v>
      </c>
      <c r="D90" s="1" t="s">
        <v>74</v>
      </c>
      <c r="E90" s="1" t="n">
        <v>0.414182580344667</v>
      </c>
      <c r="F90" s="1" t="n">
        <v>0.444045891215703</v>
      </c>
      <c r="G90" s="1" t="n">
        <v>0.389538974597401</v>
      </c>
      <c r="H90" s="1" t="n">
        <v>0.384918311471792</v>
      </c>
      <c r="I90" s="1" t="n">
        <v>0.444045891215703</v>
      </c>
      <c r="J90" s="1" t="n">
        <v>0.0519347546641265</v>
      </c>
    </row>
    <row r="91" customFormat="false" ht="15" hidden="false" customHeight="false" outlineLevel="0" collapsed="false">
      <c r="A91" s="1" t="s">
        <v>22</v>
      </c>
      <c r="B91" s="1" t="s">
        <v>23</v>
      </c>
      <c r="C91" s="1" t="s">
        <v>13</v>
      </c>
      <c r="D91" s="1" t="s">
        <v>74</v>
      </c>
      <c r="E91" s="1" t="n">
        <v>0.411142162190136</v>
      </c>
      <c r="F91" s="1" t="n">
        <v>0.37316715429923</v>
      </c>
      <c r="G91" s="1" t="n">
        <v>0.360115569838304</v>
      </c>
      <c r="H91" s="1" t="n">
        <v>0.364577704716773</v>
      </c>
      <c r="I91" s="1" t="n">
        <v>0.37316715429923</v>
      </c>
      <c r="J91" s="1" t="n">
        <v>0.0483200860696706</v>
      </c>
    </row>
    <row r="92" customFormat="false" ht="15" hidden="false" customHeight="false" outlineLevel="0" collapsed="false">
      <c r="A92" s="1" t="s">
        <v>27</v>
      </c>
      <c r="B92" s="1" t="s">
        <v>23</v>
      </c>
      <c r="C92" s="1" t="s">
        <v>13</v>
      </c>
      <c r="D92" s="1" t="s">
        <v>74</v>
      </c>
      <c r="E92" s="1" t="n">
        <v>0.40980955338198</v>
      </c>
      <c r="F92" s="1" t="n">
        <v>0.380468971978406</v>
      </c>
      <c r="G92" s="1" t="n">
        <v>0.372012374050488</v>
      </c>
      <c r="H92" s="1" t="n">
        <v>0.37667014662982</v>
      </c>
      <c r="I92" s="1" t="n">
        <v>0.380468971978406</v>
      </c>
      <c r="J92" s="1" t="n">
        <v>0.0352985057087131</v>
      </c>
    </row>
    <row r="93" customFormat="false" ht="15" hidden="false" customHeight="false" outlineLevel="0" collapsed="false">
      <c r="A93" s="1" t="s">
        <v>31</v>
      </c>
      <c r="B93" s="1" t="s">
        <v>1</v>
      </c>
      <c r="C93" s="1" t="s">
        <v>13</v>
      </c>
      <c r="D93" s="1" t="s">
        <v>74</v>
      </c>
      <c r="E93" s="1" t="n">
        <v>0.408192309682762</v>
      </c>
      <c r="F93" s="1" t="n">
        <v>0.434178627103155</v>
      </c>
      <c r="G93" s="1" t="n">
        <v>0.388438778287878</v>
      </c>
      <c r="H93" s="1" t="n">
        <v>0.380947913775208</v>
      </c>
      <c r="I93" s="1" t="n">
        <v>0.434178627103155</v>
      </c>
      <c r="J93" s="1" t="n">
        <v>0.0354730514374326</v>
      </c>
    </row>
    <row r="94" customFormat="false" ht="15" hidden="false" customHeight="false" outlineLevel="0" collapsed="false">
      <c r="A94" s="1" t="s">
        <v>28</v>
      </c>
      <c r="B94" s="1" t="s">
        <v>26</v>
      </c>
      <c r="C94" s="1" t="s">
        <v>13</v>
      </c>
      <c r="D94" s="1" t="s">
        <v>74</v>
      </c>
      <c r="E94" s="1" t="n">
        <v>0.406820887025824</v>
      </c>
      <c r="F94" s="1" t="n">
        <v>0.341096866096866</v>
      </c>
      <c r="G94" s="1" t="n">
        <v>0.344685530865924</v>
      </c>
      <c r="H94" s="1" t="n">
        <v>0.416712825045508</v>
      </c>
      <c r="I94" s="1" t="n">
        <v>0.341096866096866</v>
      </c>
      <c r="J94" s="1" t="n">
        <v>0.0449358567569477</v>
      </c>
    </row>
    <row r="95" customFormat="false" ht="15" hidden="false" customHeight="false" outlineLevel="0" collapsed="false">
      <c r="A95" s="1" t="s">
        <v>57</v>
      </c>
      <c r="B95" s="1" t="s">
        <v>26</v>
      </c>
      <c r="C95" s="1" t="s">
        <v>13</v>
      </c>
      <c r="D95" s="1" t="s">
        <v>74</v>
      </c>
      <c r="E95" s="1" t="n">
        <v>0.4008694302127</v>
      </c>
      <c r="F95" s="1" t="n">
        <v>0.316710438408552</v>
      </c>
      <c r="G95" s="1" t="n">
        <v>0.317540517472033</v>
      </c>
      <c r="H95" s="1" t="n">
        <v>0.363281644173249</v>
      </c>
      <c r="I95" s="1" t="n">
        <v>0.316710438408552</v>
      </c>
      <c r="J95" s="1" t="n">
        <v>0.0570415653657025</v>
      </c>
    </row>
    <row r="96" customFormat="false" ht="15" hidden="false" customHeight="false" outlineLevel="0" collapsed="false">
      <c r="A96" s="1" t="s">
        <v>61</v>
      </c>
      <c r="B96" s="1" t="s">
        <v>23</v>
      </c>
      <c r="C96" s="1" t="s">
        <v>13</v>
      </c>
      <c r="D96" s="1" t="s">
        <v>74</v>
      </c>
      <c r="E96" s="1" t="n">
        <v>0.386223671272577</v>
      </c>
      <c r="F96" s="1" t="n">
        <v>0.37502745332934</v>
      </c>
      <c r="G96" s="1" t="n">
        <v>0.366430940382247</v>
      </c>
      <c r="H96" s="1" t="n">
        <v>0.374170700071871</v>
      </c>
      <c r="I96" s="1" t="n">
        <v>0.37502745332934</v>
      </c>
      <c r="J96" s="1" t="n">
        <v>0.0321550939868753</v>
      </c>
    </row>
    <row r="97" customFormat="false" ht="15" hidden="false" customHeight="false" outlineLevel="0" collapsed="false">
      <c r="A97" s="1" t="s">
        <v>23</v>
      </c>
      <c r="B97" s="1" t="s">
        <v>23</v>
      </c>
      <c r="C97" s="1" t="s">
        <v>18</v>
      </c>
      <c r="D97" s="1" t="s">
        <v>74</v>
      </c>
      <c r="E97" s="1" t="n">
        <v>0.375963877244734</v>
      </c>
      <c r="F97" s="1" t="n">
        <v>0.305996728638238</v>
      </c>
      <c r="G97" s="1" t="n">
        <v>0.309094818076204</v>
      </c>
      <c r="H97" s="1" t="n">
        <v>0.321439060735915</v>
      </c>
      <c r="I97" s="1" t="n">
        <v>0.305996728638238</v>
      </c>
      <c r="J97" s="1" t="n">
        <v>0.0336516474624211</v>
      </c>
    </row>
    <row r="98" customFormat="false" ht="15" hidden="false" customHeight="false" outlineLevel="0" collapsed="false">
      <c r="A98" s="1" t="s">
        <v>55</v>
      </c>
      <c r="B98" s="1" t="s">
        <v>17</v>
      </c>
      <c r="C98" s="1" t="s">
        <v>13</v>
      </c>
      <c r="D98" s="1" t="s">
        <v>74</v>
      </c>
      <c r="E98" s="1" t="n">
        <v>0.374450137142266</v>
      </c>
      <c r="F98" s="1" t="n">
        <v>0.396216432065489</v>
      </c>
      <c r="G98" s="1" t="n">
        <v>0.343352610666612</v>
      </c>
      <c r="H98" s="1" t="n">
        <v>0.339593383502718</v>
      </c>
      <c r="I98" s="1" t="n">
        <v>0.396216432065489</v>
      </c>
      <c r="J98" s="1" t="n">
        <v>0.0334473550004113</v>
      </c>
    </row>
    <row r="99" customFormat="false" ht="15" hidden="false" customHeight="false" outlineLevel="0" collapsed="false">
      <c r="A99" s="1" t="s">
        <v>38</v>
      </c>
      <c r="B99" s="1" t="s">
        <v>26</v>
      </c>
      <c r="C99" s="1" t="s">
        <v>13</v>
      </c>
      <c r="D99" s="1" t="s">
        <v>74</v>
      </c>
      <c r="E99" s="1" t="n">
        <v>0.36711431972261</v>
      </c>
      <c r="F99" s="1" t="n">
        <v>0.404855975610693</v>
      </c>
      <c r="G99" s="1" t="n">
        <v>0.374711532197764</v>
      </c>
      <c r="H99" s="1" t="n">
        <v>0.408290928238102</v>
      </c>
      <c r="I99" s="1" t="n">
        <v>0.404855975610693</v>
      </c>
      <c r="J99" s="1" t="n">
        <v>0.0714268684891209</v>
      </c>
    </row>
    <row r="100" customFormat="false" ht="15" hidden="false" customHeight="false" outlineLevel="0" collapsed="false">
      <c r="A100" s="1" t="s">
        <v>67</v>
      </c>
      <c r="B100" s="1" t="s">
        <v>17</v>
      </c>
      <c r="C100" s="1" t="s">
        <v>13</v>
      </c>
      <c r="D100" s="1" t="s">
        <v>74</v>
      </c>
      <c r="E100" s="1" t="n">
        <v>0.362715416860736</v>
      </c>
      <c r="F100" s="1" t="n">
        <v>0.402836140100291</v>
      </c>
      <c r="G100" s="1" t="n">
        <v>0.342313434021288</v>
      </c>
      <c r="H100" s="1" t="n">
        <v>0.34299432802803</v>
      </c>
      <c r="I100" s="1" t="n">
        <v>0.402836140100291</v>
      </c>
      <c r="J100" s="1" t="n">
        <v>0.0133046797044647</v>
      </c>
    </row>
    <row r="101" customFormat="false" ht="15" hidden="false" customHeight="false" outlineLevel="0" collapsed="false">
      <c r="A101" s="1" t="s">
        <v>66</v>
      </c>
      <c r="B101" s="1" t="s">
        <v>17</v>
      </c>
      <c r="C101" s="1" t="s">
        <v>13</v>
      </c>
      <c r="D101" s="1" t="s">
        <v>74</v>
      </c>
      <c r="E101" s="1" t="n">
        <v>0.359856130000517</v>
      </c>
      <c r="F101" s="1" t="n">
        <v>0.378608672948296</v>
      </c>
      <c r="G101" s="1" t="n">
        <v>0.337218337413414</v>
      </c>
      <c r="H101" s="1" t="n">
        <v>0.328821939840363</v>
      </c>
      <c r="I101" s="1" t="n">
        <v>0.378608672948296</v>
      </c>
      <c r="J101" s="1" t="n">
        <v>0.0130207083807766</v>
      </c>
    </row>
    <row r="102" customFormat="false" ht="15" hidden="false" customHeight="false" outlineLevel="0" collapsed="false">
      <c r="A102" s="1" t="s">
        <v>37</v>
      </c>
      <c r="B102" s="1" t="s">
        <v>23</v>
      </c>
      <c r="C102" s="1" t="s">
        <v>13</v>
      </c>
      <c r="D102" s="1" t="s">
        <v>74</v>
      </c>
      <c r="E102" s="1" t="n">
        <v>0.355276095844331</v>
      </c>
      <c r="F102" s="1" t="n">
        <v>0.311102279970205</v>
      </c>
      <c r="G102" s="1" t="n">
        <v>0.298831369225077</v>
      </c>
      <c r="H102" s="1" t="n">
        <v>0.316475439895506</v>
      </c>
      <c r="I102" s="1" t="n">
        <v>0.311102279970205</v>
      </c>
      <c r="J102" s="1" t="n">
        <v>0.0598041634286912</v>
      </c>
    </row>
    <row r="103" customFormat="false" ht="15" hidden="false" customHeight="false" outlineLevel="0" collapsed="false">
      <c r="A103" s="1" t="s">
        <v>58</v>
      </c>
      <c r="B103" s="1" t="s">
        <v>26</v>
      </c>
      <c r="C103" s="1" t="s">
        <v>13</v>
      </c>
      <c r="D103" s="1" t="s">
        <v>74</v>
      </c>
      <c r="E103" s="1" t="n">
        <v>0.348224913315738</v>
      </c>
      <c r="F103" s="1" t="n">
        <v>0.341501946690626</v>
      </c>
      <c r="G103" s="1" t="n">
        <v>0.324005226158291</v>
      </c>
      <c r="H103" s="1" t="n">
        <v>0.380901300699486</v>
      </c>
      <c r="I103" s="1" t="n">
        <v>0.341501946690626</v>
      </c>
      <c r="J103" s="1" t="n">
        <v>0.052557337365195</v>
      </c>
    </row>
    <row r="104" customFormat="false" ht="15" hidden="false" customHeight="false" outlineLevel="0" collapsed="false">
      <c r="A104" s="1" t="s">
        <v>72</v>
      </c>
      <c r="B104" s="1" t="s">
        <v>1</v>
      </c>
      <c r="C104" s="1" t="s">
        <v>13</v>
      </c>
      <c r="D104" s="1" t="s">
        <v>74</v>
      </c>
      <c r="E104" s="1" t="n">
        <v>0.346698235263675</v>
      </c>
      <c r="F104" s="1" t="n">
        <v>0.422327236006481</v>
      </c>
      <c r="G104" s="1" t="n">
        <v>0.37039420341296</v>
      </c>
      <c r="H104" s="1" t="n">
        <v>0.378678531630541</v>
      </c>
      <c r="I104" s="1" t="n">
        <v>0.422327236006481</v>
      </c>
      <c r="J104" s="1" t="n">
        <v>0.0436581912759242</v>
      </c>
    </row>
    <row r="105" customFormat="false" ht="15" hidden="false" customHeight="false" outlineLevel="0" collapsed="false">
      <c r="A105" s="1" t="s">
        <v>40</v>
      </c>
      <c r="B105" s="1" t="s">
        <v>1</v>
      </c>
      <c r="C105" s="1" t="s">
        <v>13</v>
      </c>
      <c r="D105" s="1" t="s">
        <v>74</v>
      </c>
      <c r="E105" s="1" t="n">
        <v>0.345119805413238</v>
      </c>
      <c r="F105" s="1" t="n">
        <v>0.407575967009929</v>
      </c>
      <c r="G105" s="1" t="n">
        <v>0.35100961605132</v>
      </c>
      <c r="H105" s="1" t="n">
        <v>0.361405076093455</v>
      </c>
      <c r="I105" s="1" t="n">
        <v>0.407575967009929</v>
      </c>
      <c r="J105" s="1" t="n">
        <v>0.0394458824959384</v>
      </c>
    </row>
    <row r="106" customFormat="false" ht="15" hidden="false" customHeight="false" outlineLevel="0" collapsed="false">
      <c r="A106" s="1" t="s">
        <v>42</v>
      </c>
      <c r="B106" s="1" t="s">
        <v>1</v>
      </c>
      <c r="C106" s="1" t="s">
        <v>13</v>
      </c>
      <c r="D106" s="1" t="s">
        <v>74</v>
      </c>
      <c r="E106" s="1" t="n">
        <v>0.343735444806707</v>
      </c>
      <c r="F106" s="1" t="n">
        <v>0.386225531980249</v>
      </c>
      <c r="G106" s="1" t="n">
        <v>0.333472065718395</v>
      </c>
      <c r="H106" s="1" t="n">
        <v>0.334703679858886</v>
      </c>
      <c r="I106" s="1" t="n">
        <v>0.386225531980249</v>
      </c>
      <c r="J106" s="1" t="n">
        <v>0.05754968220792</v>
      </c>
    </row>
    <row r="107" customFormat="false" ht="15" hidden="false" customHeight="false" outlineLevel="0" collapsed="false">
      <c r="A107" s="1" t="s">
        <v>53</v>
      </c>
      <c r="B107" s="1" t="s">
        <v>17</v>
      </c>
      <c r="C107" s="1" t="s">
        <v>13</v>
      </c>
      <c r="D107" s="1" t="s">
        <v>74</v>
      </c>
      <c r="E107" s="1" t="n">
        <v>0.342247580603426</v>
      </c>
      <c r="F107" s="1" t="n">
        <v>0.363648336289846</v>
      </c>
      <c r="G107" s="1" t="n">
        <v>0.325186141625224</v>
      </c>
      <c r="H107" s="1" t="n">
        <v>0.334186318559132</v>
      </c>
      <c r="I107" s="1" t="n">
        <v>0.363648336289846</v>
      </c>
      <c r="J107" s="1" t="n">
        <v>0.0376824639841708</v>
      </c>
    </row>
    <row r="108" customFormat="false" ht="15" hidden="false" customHeight="false" outlineLevel="0" collapsed="false">
      <c r="A108" s="1" t="s">
        <v>39</v>
      </c>
      <c r="B108" s="1" t="s">
        <v>26</v>
      </c>
      <c r="C108" s="1" t="s">
        <v>13</v>
      </c>
      <c r="D108" s="1" t="s">
        <v>74</v>
      </c>
      <c r="E108" s="1" t="n">
        <v>0.339038969104176</v>
      </c>
      <c r="F108" s="1" t="n">
        <v>0.364559287672495</v>
      </c>
      <c r="G108" s="1" t="n">
        <v>0.342313679008435</v>
      </c>
      <c r="H108" s="1" t="n">
        <v>0.370236467791022</v>
      </c>
      <c r="I108" s="1" t="n">
        <v>0.364559287672495</v>
      </c>
      <c r="J108" s="1" t="n">
        <v>0.0621175468422809</v>
      </c>
    </row>
    <row r="109" customFormat="false" ht="15" hidden="false" customHeight="false" outlineLevel="0" collapsed="false">
      <c r="A109" s="1" t="s">
        <v>54</v>
      </c>
      <c r="B109" s="1" t="s">
        <v>17</v>
      </c>
      <c r="C109" s="1" t="s">
        <v>13</v>
      </c>
      <c r="D109" s="1" t="s">
        <v>74</v>
      </c>
      <c r="E109" s="1" t="n">
        <v>0.33770636029602</v>
      </c>
      <c r="F109" s="1" t="n">
        <v>0.342806075824944</v>
      </c>
      <c r="G109" s="1" t="n">
        <v>0.307200956177886</v>
      </c>
      <c r="H109" s="1" t="n">
        <v>0.318343582942829</v>
      </c>
      <c r="I109" s="1" t="n">
        <v>0.342806075824944</v>
      </c>
      <c r="J109" s="1" t="n">
        <v>0.0497660165491816</v>
      </c>
    </row>
    <row r="110" customFormat="false" ht="15" hidden="false" customHeight="false" outlineLevel="0" collapsed="false">
      <c r="A110" s="1" t="s">
        <v>43</v>
      </c>
      <c r="B110" s="1" t="s">
        <v>26</v>
      </c>
      <c r="C110" s="1" t="s">
        <v>13</v>
      </c>
      <c r="D110" s="1" t="s">
        <v>74</v>
      </c>
      <c r="E110" s="1" t="n">
        <v>0.336347875588677</v>
      </c>
      <c r="F110" s="1" t="n">
        <v>0.371224495281099</v>
      </c>
      <c r="G110" s="1" t="n">
        <v>0.327991524492369</v>
      </c>
      <c r="H110" s="1" t="n">
        <v>0.341295561947788</v>
      </c>
      <c r="I110" s="1" t="n">
        <v>0.371224495281099</v>
      </c>
      <c r="J110" s="1" t="n">
        <v>0.0232239693463585</v>
      </c>
    </row>
    <row r="111" customFormat="false" ht="15" hidden="false" customHeight="false" outlineLevel="0" collapsed="false">
      <c r="A111" s="1" t="s">
        <v>44</v>
      </c>
      <c r="B111" s="1" t="s">
        <v>23</v>
      </c>
      <c r="C111" s="1" t="s">
        <v>13</v>
      </c>
      <c r="D111" s="1" t="s">
        <v>74</v>
      </c>
      <c r="E111" s="1" t="n">
        <v>0.334704755990271</v>
      </c>
      <c r="F111" s="1" t="n">
        <v>0.364628400949156</v>
      </c>
      <c r="G111" s="1" t="n">
        <v>0.319347250751469</v>
      </c>
      <c r="H111" s="1" t="n">
        <v>0.320904716781711</v>
      </c>
      <c r="I111" s="1" t="n">
        <v>0.364628400949156</v>
      </c>
      <c r="J111" s="1" t="n">
        <v>0.0460415831383589</v>
      </c>
    </row>
    <row r="112" customFormat="false" ht="15" hidden="false" customHeight="false" outlineLevel="0" collapsed="false">
      <c r="A112" s="1" t="s">
        <v>46</v>
      </c>
      <c r="B112" s="1" t="s">
        <v>23</v>
      </c>
      <c r="C112" s="1" t="s">
        <v>13</v>
      </c>
      <c r="D112" s="1" t="s">
        <v>74</v>
      </c>
      <c r="E112" s="1" t="n">
        <v>0.324574341458366</v>
      </c>
      <c r="F112" s="1" t="n">
        <v>0.354831210019889</v>
      </c>
      <c r="G112" s="1" t="n">
        <v>0.31748531829895</v>
      </c>
      <c r="H112" s="1" t="n">
        <v>0.328228821817215</v>
      </c>
      <c r="I112" s="1" t="n">
        <v>0.354831210019889</v>
      </c>
      <c r="J112" s="1" t="n">
        <v>0.0254633996919985</v>
      </c>
    </row>
    <row r="113" customFormat="false" ht="15" hidden="false" customHeight="false" outlineLevel="0" collapsed="false">
      <c r="A113" s="1" t="s">
        <v>56</v>
      </c>
      <c r="B113" s="1" t="s">
        <v>17</v>
      </c>
      <c r="C113" s="1" t="s">
        <v>13</v>
      </c>
      <c r="D113" s="1" t="s">
        <v>74</v>
      </c>
      <c r="E113" s="1" t="n">
        <v>0.323125291103866</v>
      </c>
      <c r="F113" s="1" t="n">
        <v>0.361583577149615</v>
      </c>
      <c r="G113" s="1" t="n">
        <v>0.308606022498262</v>
      </c>
      <c r="H113" s="1" t="n">
        <v>0.312068569560629</v>
      </c>
      <c r="I113" s="1" t="n">
        <v>0.361583577149615</v>
      </c>
      <c r="J113" s="1" t="n">
        <v>0.0424080297088609</v>
      </c>
    </row>
    <row r="114" customFormat="false" ht="15" hidden="false" customHeight="false" outlineLevel="0" collapsed="false">
      <c r="A114" s="1" t="s">
        <v>50</v>
      </c>
      <c r="B114" s="1" t="s">
        <v>23</v>
      </c>
      <c r="C114" s="1" t="s">
        <v>13</v>
      </c>
      <c r="D114" s="1" t="s">
        <v>74</v>
      </c>
      <c r="E114" s="1" t="n">
        <v>0.321520985354241</v>
      </c>
      <c r="F114" s="1" t="n">
        <v>0.35428559909692</v>
      </c>
      <c r="G114" s="1" t="n">
        <v>0.319649208359528</v>
      </c>
      <c r="H114" s="1" t="n">
        <v>0.330425347072146</v>
      </c>
      <c r="I114" s="1" t="n">
        <v>0.35428559909692</v>
      </c>
      <c r="J114" s="1" t="n">
        <v>0.0440935534078703</v>
      </c>
    </row>
    <row r="115" customFormat="false" ht="15" hidden="false" customHeight="false" outlineLevel="0" collapsed="false">
      <c r="A115" s="1" t="s">
        <v>63</v>
      </c>
      <c r="B115" s="1" t="s">
        <v>23</v>
      </c>
      <c r="C115" s="1" t="s">
        <v>13</v>
      </c>
      <c r="D115" s="1" t="s">
        <v>74</v>
      </c>
      <c r="E115" s="1" t="n">
        <v>0.317406717383429</v>
      </c>
      <c r="F115" s="1" t="n">
        <v>0.351465969390498</v>
      </c>
      <c r="G115" s="1" t="n">
        <v>0.311524773857827</v>
      </c>
      <c r="H115" s="1" t="n">
        <v>0.319349046184918</v>
      </c>
      <c r="I115" s="1" t="n">
        <v>0.351465969390498</v>
      </c>
      <c r="J115" s="1" t="n">
        <v>0.0551366458973743</v>
      </c>
    </row>
    <row r="116" customFormat="false" ht="15" hidden="false" customHeight="false" outlineLevel="0" collapsed="false">
      <c r="A116" s="1" t="s">
        <v>62</v>
      </c>
      <c r="B116" s="1" t="s">
        <v>23</v>
      </c>
      <c r="C116" s="1" t="s">
        <v>13</v>
      </c>
      <c r="D116" s="1" t="s">
        <v>74</v>
      </c>
      <c r="E116" s="1" t="n">
        <v>0.300988459348962</v>
      </c>
      <c r="F116" s="1" t="n">
        <v>0.331644281644282</v>
      </c>
      <c r="G116" s="1" t="n">
        <v>0.300633421141229</v>
      </c>
      <c r="H116" s="1" t="n">
        <v>0.315785361134331</v>
      </c>
      <c r="I116" s="1" t="n">
        <v>0.331644281644282</v>
      </c>
      <c r="J116" s="1" t="n">
        <v>0.0717313905992586</v>
      </c>
    </row>
    <row r="117" customFormat="false" ht="15" hidden="false" customHeight="false" outlineLevel="0" collapsed="false">
      <c r="A117" s="1" t="s">
        <v>52</v>
      </c>
      <c r="B117" s="1" t="s">
        <v>23</v>
      </c>
      <c r="C117" s="1" t="s">
        <v>13</v>
      </c>
      <c r="D117" s="1" t="s">
        <v>74</v>
      </c>
      <c r="E117" s="1" t="n">
        <v>0.298167986337525</v>
      </c>
      <c r="F117" s="1" t="n">
        <v>0.319513173758457</v>
      </c>
      <c r="G117" s="1" t="n">
        <v>0.282966039701618</v>
      </c>
      <c r="H117" s="1" t="n">
        <v>0.304942288351732</v>
      </c>
      <c r="I117" s="1" t="n">
        <v>0.319513173758457</v>
      </c>
      <c r="J117" s="1" t="n">
        <v>0.0856865776133342</v>
      </c>
    </row>
    <row r="118" customFormat="false" ht="15" hidden="false" customHeight="false" outlineLevel="0" collapsed="false">
      <c r="A118" s="1" t="s">
        <v>59</v>
      </c>
      <c r="B118" s="1" t="s">
        <v>26</v>
      </c>
      <c r="C118" s="1" t="s">
        <v>13</v>
      </c>
      <c r="D118" s="1" t="s">
        <v>74</v>
      </c>
      <c r="E118" s="1" t="n">
        <v>0.286342700408839</v>
      </c>
      <c r="F118" s="1" t="n">
        <v>0.355384884158469</v>
      </c>
      <c r="G118" s="1" t="n">
        <v>0.306604219231524</v>
      </c>
      <c r="H118" s="1" t="n">
        <v>0.358160742985696</v>
      </c>
      <c r="I118" s="1" t="n">
        <v>0.355384884158469</v>
      </c>
      <c r="J118" s="1" t="n">
        <v>0.0434017627700495</v>
      </c>
    </row>
    <row r="119" customFormat="false" ht="15" hidden="false" customHeight="false" outlineLevel="0" collapsed="false">
      <c r="A119" s="1" t="s">
        <v>48</v>
      </c>
      <c r="B119" s="1" t="s">
        <v>26</v>
      </c>
      <c r="C119" s="1" t="s">
        <v>13</v>
      </c>
      <c r="D119" s="1" t="s">
        <v>74</v>
      </c>
      <c r="E119" s="1" t="n">
        <v>0.283354034052683</v>
      </c>
      <c r="F119" s="1" t="n">
        <v>0.283738605908417</v>
      </c>
      <c r="G119" s="1" t="n">
        <v>0.271339634137058</v>
      </c>
      <c r="H119" s="1" t="n">
        <v>0.337287452334162</v>
      </c>
      <c r="I119" s="1" t="n">
        <v>0.283738605908417</v>
      </c>
      <c r="J119" s="1" t="n">
        <v>0.0703305631165501</v>
      </c>
    </row>
    <row r="120" customFormat="false" ht="15" hidden="false" customHeight="false" outlineLevel="0" collapsed="false">
      <c r="A120" s="1" t="s">
        <v>49</v>
      </c>
      <c r="B120" s="1" t="s">
        <v>17</v>
      </c>
      <c r="C120" s="1" t="s">
        <v>13</v>
      </c>
      <c r="D120" s="1" t="s">
        <v>74</v>
      </c>
      <c r="E120" s="1" t="n">
        <v>0.252626403767531</v>
      </c>
      <c r="F120" s="1" t="n">
        <v>0.390968238609748</v>
      </c>
      <c r="G120" s="1" t="n">
        <v>0.28285294037891</v>
      </c>
      <c r="H120" s="1" t="n">
        <v>0.365858129790918</v>
      </c>
      <c r="I120" s="1" t="n">
        <v>0.390968238609748</v>
      </c>
      <c r="J120" s="1" t="n">
        <v>0.0424149337478264</v>
      </c>
    </row>
    <row r="121" customFormat="false" ht="15" hidden="false" customHeight="false" outlineLevel="0" collapsed="false">
      <c r="A121" s="1" t="s">
        <v>45</v>
      </c>
      <c r="B121" s="1" t="s">
        <v>1</v>
      </c>
      <c r="C121" s="1" t="s">
        <v>13</v>
      </c>
      <c r="D121" s="1" t="s">
        <v>74</v>
      </c>
      <c r="E121" s="1" t="n">
        <v>0.251125601614656</v>
      </c>
      <c r="F121" s="1" t="n">
        <v>0.411241466430146</v>
      </c>
      <c r="G121" s="1" t="n">
        <v>0.300292818265209</v>
      </c>
      <c r="H121" s="1" t="n">
        <v>0.276246378467505</v>
      </c>
      <c r="I121" s="1" t="n">
        <v>0.411241466430146</v>
      </c>
      <c r="J121" s="1" t="n">
        <v>0.0188986279775721</v>
      </c>
    </row>
    <row r="122" customFormat="false" ht="15" hidden="false" customHeight="false" outlineLevel="0" collapsed="false">
      <c r="A122" s="1" t="s">
        <v>47</v>
      </c>
      <c r="B122" s="1" t="s">
        <v>23</v>
      </c>
      <c r="C122" s="1" t="s">
        <v>13</v>
      </c>
      <c r="D122" s="1" t="s">
        <v>74</v>
      </c>
      <c r="E122" s="1" t="n">
        <v>0.189411582052476</v>
      </c>
      <c r="F122" s="1" t="n">
        <v>0.286248377757812</v>
      </c>
      <c r="G122" s="1" t="n">
        <v>0.208403252158789</v>
      </c>
      <c r="H122" s="1" t="n">
        <v>0.241047100002708</v>
      </c>
      <c r="I122" s="1" t="n">
        <v>0.286248377757812</v>
      </c>
      <c r="J122" s="1" t="n">
        <v>0.0437423096258763</v>
      </c>
    </row>
    <row r="123" customFormat="false" ht="15" hidden="false" customHeight="false" outlineLevel="0" collapsed="false">
      <c r="A123" s="1" t="s">
        <v>51</v>
      </c>
      <c r="B123" s="1" t="s">
        <v>26</v>
      </c>
      <c r="C123" s="1" t="s">
        <v>13</v>
      </c>
      <c r="D123" s="1" t="s">
        <v>74</v>
      </c>
      <c r="E123" s="1" t="n">
        <v>0.184805671997102</v>
      </c>
      <c r="F123" s="1" t="n">
        <v>0.304222629222629</v>
      </c>
      <c r="G123" s="1" t="n">
        <v>0.213116319193664</v>
      </c>
      <c r="H123" s="1" t="n">
        <v>0.247421469584829</v>
      </c>
      <c r="I123" s="1" t="n">
        <v>0.304222629222629</v>
      </c>
      <c r="J123" s="1" t="n">
        <v>0.0585169708043338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I3" activeCellId="0" sqref="I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9.55"/>
    <col collapsed="false" customWidth="true" hidden="false" outlineLevel="0" max="2" min="2" style="1" width="25.19"/>
    <col collapsed="false" customWidth="true" hidden="false" outlineLevel="0" max="12" min="12" style="1" width="17.52"/>
    <col collapsed="false" customWidth="true" hidden="false" outlineLevel="0" max="16384" min="16382" style="1" width="11.53"/>
  </cols>
  <sheetData>
    <row r="1" customFormat="false" ht="15" hidden="false" customHeight="false" outlineLevel="0" collapsed="false">
      <c r="A1" s="2" t="s">
        <v>1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4" t="s">
        <v>2</v>
      </c>
      <c r="B2" s="4" t="s">
        <v>4</v>
      </c>
      <c r="C2" s="4" t="s">
        <v>5</v>
      </c>
      <c r="D2" s="4" t="s">
        <v>6</v>
      </c>
      <c r="E2" s="4" t="s">
        <v>127</v>
      </c>
      <c r="F2" s="4" t="s">
        <v>9</v>
      </c>
      <c r="G2" s="4" t="s">
        <v>10</v>
      </c>
    </row>
    <row r="3" customFormat="false" ht="15" hidden="false" customHeight="false" outlineLevel="0" collapsed="false">
      <c r="A3" s="1" t="s">
        <v>80</v>
      </c>
      <c r="B3" s="1" t="str">
        <f aca="false">IF(  OR(ISNUMBER(SEARCH("SMOTEENN",A3)),ISNUMBER(SEARCH("SMOTETomek",A3))),  "Hybrid",  IF(   AND(    OR(ISNUMBER(SEARCH("SMOTE",A3)),ISNUMBER(SEARCH("SVMSMOTE",A3)),ISNUMBER(SEARCH("RandomOverSampler",A3)),ISNUMBER(SEARCH("BorderlineSmote",A3))),    OR(ISNUMBER(SEARCH("RandomUnderSampler",A3)),ISNUMBER(SEARCH("ClusterCentroids",A3)),ISNUMBER(SEARCH("OneSidedSelection",A3)))   ),   "Over+Under",   IF(    OR(ISNUMBER(SEARCH("SMOTE",A3)),ISNUMBER(SEARCH("SVMSMOTE",A3)),ISNUMBER(SEARCH("RandomOverSampler",A3)),ISNUMBER(SEARCH("BorderlineSmote",A3))),    "Oversampling",    IF(     OR(ISNUMBER(SEARCH("RandomUnderSampler",A3)),ISNUMBER(SEARCH("ClusterCentroids",A3)),ISNUMBER(SEARCH("OneSidedSelection",A3))),     "Undersampler",     "Czysty"    )   )  ) )</f>
        <v>Hybrid</v>
      </c>
      <c r="C3" s="1" t="s">
        <v>14</v>
      </c>
      <c r="D3" s="1" t="n">
        <v>0.5212</v>
      </c>
      <c r="E3" s="1" t="n">
        <v>0.4296</v>
      </c>
      <c r="F3" s="1" t="n">
        <v>0.4645</v>
      </c>
      <c r="G3" s="1" t="n">
        <v>0.4429</v>
      </c>
      <c r="I3" s="0" t="s">
        <v>103</v>
      </c>
      <c r="L3" s="0"/>
    </row>
    <row r="4" customFormat="false" ht="15" hidden="false" customHeight="false" outlineLevel="0" collapsed="false">
      <c r="A4" s="1" t="s">
        <v>123</v>
      </c>
      <c r="B4" s="1" t="str">
        <f aca="false">IF(  OR(ISNUMBER(SEARCH("SMOTEENN",A4)),ISNUMBER(SEARCH("SMOTETomek",A4))),  "Hybrid",  IF(   AND(    OR(ISNUMBER(SEARCH("SMOTE",A4)),ISNUMBER(SEARCH("SVMSMOTE",A4)),ISNUMBER(SEARCH("RandomOverSampler",A4)),ISNUMBER(SEARCH("BorderlineSmote",A4))),    OR(ISNUMBER(SEARCH("RandomUnderSampler",A4)),ISNUMBER(SEARCH("ClusterCentroids",A4)),ISNUMBER(SEARCH("OneSidedSelection",A4)))   ),   "Over+Under",   IF(    OR(ISNUMBER(SEARCH("SMOTE",A4)),ISNUMBER(SEARCH("SVMSMOTE",A4)),ISNUMBER(SEARCH("RandomOverSampler",A4)),ISNUMBER(SEARCH("BorderlineSmote",A4))),    "Oversampling",    IF(     OR(ISNUMBER(SEARCH("RandomUnderSampler",A4)),ISNUMBER(SEARCH("ClusterCentroids",A4)),ISNUMBER(SEARCH("OneSidedSelection",A4))),     "Undersampler",     "Czysty"    )   )  ) )</f>
        <v>Oversampling</v>
      </c>
      <c r="C4" s="1" t="s">
        <v>14</v>
      </c>
      <c r="D4" s="1" t="n">
        <v>0.5257</v>
      </c>
      <c r="E4" s="1" t="n">
        <v>0.4161</v>
      </c>
      <c r="F4" s="1" t="n">
        <v>0.4457</v>
      </c>
      <c r="G4" s="1" t="n">
        <v>0.4277</v>
      </c>
      <c r="I4" s="0" t="s">
        <v>1</v>
      </c>
      <c r="L4" s="0"/>
    </row>
    <row r="5" customFormat="false" ht="15" hidden="false" customHeight="false" outlineLevel="0" collapsed="false">
      <c r="A5" s="1" t="s">
        <v>81</v>
      </c>
      <c r="B5" s="1" t="str">
        <f aca="false">IF(  OR(ISNUMBER(SEARCH("SMOTEENN",A5)),ISNUMBER(SEARCH("SMOTETomek",A5))),  "Hybrid",  IF(   AND(    OR(ISNUMBER(SEARCH("SMOTE",A5)),ISNUMBER(SEARCH("SVMSMOTE",A5)),ISNUMBER(SEARCH("RandomOverSampler",A5)),ISNUMBER(SEARCH("BorderlineSmote",A5))),    OR(ISNUMBER(SEARCH("RandomUnderSampler",A5)),ISNUMBER(SEARCH("ClusterCentroids",A5)),ISNUMBER(SEARCH("OneSidedSelection",A5)))   ),   "Over+Under",   IF(    OR(ISNUMBER(SEARCH("SMOTE",A5)),ISNUMBER(SEARCH("SVMSMOTE",A5)),ISNUMBER(SEARCH("RandomOverSampler",A5)),ISNUMBER(SEARCH("BorderlineSmote",A5))),    "Oversampling",    IF(     OR(ISNUMBER(SEARCH("RandomUnderSampler",A5)),ISNUMBER(SEARCH("ClusterCentroids",A5)),ISNUMBER(SEARCH("OneSidedSelection",A5))),     "Undersampler",     "Czysty"    )   )  ) )</f>
        <v>Oversampling</v>
      </c>
      <c r="C5" s="1" t="s">
        <v>14</v>
      </c>
      <c r="D5" s="1" t="n">
        <v>0.533</v>
      </c>
      <c r="E5" s="1" t="n">
        <v>0.415</v>
      </c>
      <c r="F5" s="1" t="n">
        <v>0.4454</v>
      </c>
      <c r="G5" s="1" t="n">
        <v>0.4227</v>
      </c>
      <c r="I5" s="0" t="s">
        <v>14</v>
      </c>
      <c r="J5" s="0" t="n">
        <f aca="false">MAX(E3:E17)</f>
        <v>0.4296</v>
      </c>
      <c r="K5" s="0" t="str">
        <f aca="false">INDEX(A3:A17,    MATCH(   J5,   E3:E17, 0)    )</f>
        <v>SMOTETomek</v>
      </c>
      <c r="L5" s="0"/>
    </row>
    <row r="6" customFormat="false" ht="15" hidden="false" customHeight="false" outlineLevel="0" collapsed="false">
      <c r="A6" s="1" t="s">
        <v>82</v>
      </c>
      <c r="B6" s="1" t="str">
        <f aca="false">IF(  OR(ISNUMBER(SEARCH("SMOTEENN",A6)),ISNUMBER(SEARCH("SMOTETomek",A6))),  "Hybrid",  IF(   AND(    OR(ISNUMBER(SEARCH("SMOTE",A6)),ISNUMBER(SEARCH("SVMSMOTE",A6)),ISNUMBER(SEARCH("RandomOverSampler",A6)),ISNUMBER(SEARCH("BorderlineSmote",A6))),    OR(ISNUMBER(SEARCH("RandomUnderSampler",A6)),ISNUMBER(SEARCH("ClusterCentroids",A6)),ISNUMBER(SEARCH("OneSidedSelection",A6)))   ),   "Over+Under",   IF(    OR(ISNUMBER(SEARCH("SMOTE",A6)),ISNUMBER(SEARCH("SVMSMOTE",A6)),ISNUMBER(SEARCH("RandomOverSampler",A6)),ISNUMBER(SEARCH("BorderlineSmote",A6))),    "Oversampling",    IF(     OR(ISNUMBER(SEARCH("RandomUnderSampler",A6)),ISNUMBER(SEARCH("ClusterCentroids",A6)),ISNUMBER(SEARCH("OneSidedSelection",A6))),     "Undersampler",     "Czysty"    )   )  ) )</f>
        <v>Over+Under</v>
      </c>
      <c r="C6" s="1" t="s">
        <v>14</v>
      </c>
      <c r="D6" s="1" t="n">
        <v>0.4156</v>
      </c>
      <c r="E6" s="1" t="n">
        <v>0.3883</v>
      </c>
      <c r="F6" s="1" t="n">
        <v>0.382</v>
      </c>
      <c r="G6" s="1" t="n">
        <v>0.4481</v>
      </c>
      <c r="I6" s="0" t="s">
        <v>74</v>
      </c>
      <c r="J6" s="0" t="n">
        <f aca="false">MAX(E18:E32)</f>
        <v>0.4297</v>
      </c>
      <c r="K6" s="0" t="str">
        <f aca="false">INDEX(A18:A32,    MATCH(   J6,   E18:E32, 0)    )</f>
        <v>SMOTE</v>
      </c>
      <c r="L6" s="0"/>
    </row>
    <row r="7" customFormat="false" ht="15" hidden="false" customHeight="false" outlineLevel="0" collapsed="false">
      <c r="A7" s="1" t="s">
        <v>83</v>
      </c>
      <c r="B7" s="1" t="str">
        <f aca="false">IF(  OR(ISNUMBER(SEARCH("SMOTEENN",A7)),ISNUMBER(SEARCH("SMOTETomek",A7))),  "Hybrid",  IF(   AND(    OR(ISNUMBER(SEARCH("SMOTE",A7)),ISNUMBER(SEARCH("SVMSMOTE",A7)),ISNUMBER(SEARCH("RandomOverSampler",A7)),ISNUMBER(SEARCH("BorderlineSmote",A7))),    OR(ISNUMBER(SEARCH("RandomUnderSampler",A7)),ISNUMBER(SEARCH("ClusterCentroids",A7)),ISNUMBER(SEARCH("OneSidedSelection",A7)))   ),   "Over+Under",   IF(    OR(ISNUMBER(SEARCH("SMOTE",A7)),ISNUMBER(SEARCH("SVMSMOTE",A7)),ISNUMBER(SEARCH("RandomOverSampler",A7)),ISNUMBER(SEARCH("BorderlineSmote",A7))),    "Oversampling",    IF(     OR(ISNUMBER(SEARCH("RandomUnderSampler",A7)),ISNUMBER(SEARCH("ClusterCentroids",A7)),ISNUMBER(SEARCH("OneSidedSelection",A7))),     "Undersampler",     "Czysty"    )   )  ) )</f>
        <v>Over+Under</v>
      </c>
      <c r="C7" s="1" t="s">
        <v>14</v>
      </c>
      <c r="D7" s="1" t="n">
        <v>0.4289</v>
      </c>
      <c r="E7" s="1" t="n">
        <v>0.3881</v>
      </c>
      <c r="F7" s="1" t="n">
        <v>0.3754</v>
      </c>
      <c r="G7" s="1" t="n">
        <v>0.4554</v>
      </c>
      <c r="L7" s="0"/>
    </row>
    <row r="8" customFormat="false" ht="15" hidden="false" customHeight="false" outlineLevel="0" collapsed="false">
      <c r="A8" s="1" t="s">
        <v>126</v>
      </c>
      <c r="B8" s="1" t="str">
        <f aca="false">IF(  OR(ISNUMBER(SEARCH("SMOTEENN",A8)),ISNUMBER(SEARCH("SMOTETomek",A8))),  "Hybrid",  IF(   AND(    OR(ISNUMBER(SEARCH("SMOTE",A8)),ISNUMBER(SEARCH("SVMSMOTE",A8)),ISNUMBER(SEARCH("RandomOverSampler",A8)),ISNUMBER(SEARCH("BorderlineSmote",A8))),    OR(ISNUMBER(SEARCH("RandomUnderSampler",A8)),ISNUMBER(SEARCH("ClusterCentroids",A8)),ISNUMBER(SEARCH("OneSidedSelection",A8)))   ),   "Over+Under",   IF(    OR(ISNUMBER(SEARCH("SMOTE",A8)),ISNUMBER(SEARCH("SVMSMOTE",A8)),ISNUMBER(SEARCH("RandomOverSampler",A8)),ISNUMBER(SEARCH("BorderlineSmote",A8))),    "Oversampling",    IF(     OR(ISNUMBER(SEARCH("RandomUnderSampler",A8)),ISNUMBER(SEARCH("ClusterCentroids",A8)),ISNUMBER(SEARCH("OneSidedSelection",A8))),     "Undersampler",     "Czysty"    )   )  ) )</f>
        <v>Oversampling</v>
      </c>
      <c r="C8" s="1" t="s">
        <v>14</v>
      </c>
      <c r="D8" s="1" t="n">
        <v>0.5066</v>
      </c>
      <c r="E8" s="1" t="n">
        <v>0.3865</v>
      </c>
      <c r="F8" s="1" t="n">
        <v>0.4112</v>
      </c>
      <c r="G8" s="1" t="n">
        <v>0.4052</v>
      </c>
      <c r="I8" s="0" t="s">
        <v>17</v>
      </c>
      <c r="L8" s="0"/>
    </row>
    <row r="9" customFormat="false" ht="15" hidden="false" customHeight="false" outlineLevel="0" collapsed="false">
      <c r="A9" s="1" t="s">
        <v>79</v>
      </c>
      <c r="B9" s="1" t="str">
        <f aca="false">IF(  OR(ISNUMBER(SEARCH("SMOTEENN",A9)),ISNUMBER(SEARCH("SMOTETomek",A9))),  "Hybrid",  IF(   AND(    OR(ISNUMBER(SEARCH("SMOTE",A9)),ISNUMBER(SEARCH("SVMSMOTE",A9)),ISNUMBER(SEARCH("RandomOverSampler",A9)),ISNUMBER(SEARCH("BorderlineSmote",A9))),    OR(ISNUMBER(SEARCH("RandomUnderSampler",A9)),ISNUMBER(SEARCH("ClusterCentroids",A9)),ISNUMBER(SEARCH("OneSidedSelection",A9)))   ),   "Over+Under",   IF(    OR(ISNUMBER(SEARCH("SMOTE",A9)),ISNUMBER(SEARCH("SVMSMOTE",A9)),ISNUMBER(SEARCH("RandomOverSampler",A9)),ISNUMBER(SEARCH("BorderlineSmote",A9))),    "Oversampling",    IF(     OR(ISNUMBER(SEARCH("RandomUnderSampler",A9)),ISNUMBER(SEARCH("ClusterCentroids",A9)),ISNUMBER(SEARCH("OneSidedSelection",A9))),     "Undersampler",     "Czysty"    )   )  ) )</f>
        <v>Oversampling</v>
      </c>
      <c r="C9" s="1" t="s">
        <v>14</v>
      </c>
      <c r="D9" s="1" t="n">
        <v>0.4993</v>
      </c>
      <c r="E9" s="1" t="n">
        <v>0.3853</v>
      </c>
      <c r="F9" s="1" t="n">
        <v>0.4114</v>
      </c>
      <c r="G9" s="1" t="n">
        <v>0.3935</v>
      </c>
      <c r="I9" s="0" t="s">
        <v>14</v>
      </c>
      <c r="J9" s="0" t="n">
        <f aca="false">MAX(E36:E50)</f>
        <v>0.4303</v>
      </c>
      <c r="K9" s="0" t="str">
        <f aca="false">INDEX(A36:A65,    MATCH(   J9,   E36:E65, 0)    )</f>
        <v>BorderlineSmote</v>
      </c>
      <c r="L9" s="0"/>
    </row>
    <row r="10" customFormat="false" ht="15" hidden="false" customHeight="false" outlineLevel="0" collapsed="false">
      <c r="A10" s="1" t="s">
        <v>124</v>
      </c>
      <c r="B10" s="1" t="str">
        <f aca="false">IF(  OR(ISNUMBER(SEARCH("SMOTEENN",A10)),ISNUMBER(SEARCH("SMOTETomek",A10))),  "Hybrid",  IF(   AND(    OR(ISNUMBER(SEARCH("SMOTE",A10)),ISNUMBER(SEARCH("SVMSMOTE",A10)),ISNUMBER(SEARCH("RandomOverSampler",A10)),ISNUMBER(SEARCH("BorderlineSmote",A10))),    OR(ISNUMBER(SEARCH("RandomUnderSampler",A10)),ISNUMBER(SEARCH("ClusterCentroids",A10)),ISNUMBER(SEARCH("OneSidedSelection",A10)))   ),   "Over+Under",   IF(    OR(ISNUMBER(SEARCH("SMOTE",A10)),ISNUMBER(SEARCH("SVMSMOTE",A10)),ISNUMBER(SEARCH("RandomOverSampler",A10)),ISNUMBER(SEARCH("BorderlineSmote",A10))),    "Oversampling",    IF(     OR(ISNUMBER(SEARCH("RandomUnderSampler",A10)),ISNUMBER(SEARCH("ClusterCentroids",A10)),ISNUMBER(SEARCH("OneSidedSelection",A10))),     "Undersampler",     "Czysty"    )   )  ) )</f>
        <v>Over+Under</v>
      </c>
      <c r="C10" s="1" t="s">
        <v>14</v>
      </c>
      <c r="D10" s="1" t="n">
        <v>0.3935</v>
      </c>
      <c r="E10" s="1" t="n">
        <v>0.38</v>
      </c>
      <c r="F10" s="1" t="n">
        <v>0.3783</v>
      </c>
      <c r="G10" s="1" t="n">
        <v>0.4413</v>
      </c>
      <c r="I10" s="0" t="s">
        <v>74</v>
      </c>
      <c r="J10" s="0" t="n">
        <f aca="false">MAX(E51:E65)</f>
        <v>0.432</v>
      </c>
      <c r="K10" s="0" t="str">
        <f aca="false">INDEX(A36:A65,    MATCH(   J10,   E36:E65, 0)    )</f>
        <v>BorderlineSmote</v>
      </c>
      <c r="L10" s="0"/>
    </row>
    <row r="11" customFormat="false" ht="15" hidden="false" customHeight="false" outlineLevel="0" collapsed="false">
      <c r="A11" s="1" t="s">
        <v>84</v>
      </c>
      <c r="B11" s="1" t="str">
        <f aca="false">IF(  OR(ISNUMBER(SEARCH("SMOTEENN",A11)),ISNUMBER(SEARCH("SMOTETomek",A11))),  "Hybrid",  IF(   AND(    OR(ISNUMBER(SEARCH("SMOTE",A11)),ISNUMBER(SEARCH("SVMSMOTE",A11)),ISNUMBER(SEARCH("RandomOverSampler",A11)),ISNUMBER(SEARCH("BorderlineSmote",A11))),    OR(ISNUMBER(SEARCH("RandomUnderSampler",A11)),ISNUMBER(SEARCH("ClusterCentroids",A11)),ISNUMBER(SEARCH("OneSidedSelection",A11)))   ),   "Over+Under",   IF(    OR(ISNUMBER(SEARCH("SMOTE",A11)),ISNUMBER(SEARCH("SVMSMOTE",A11)),ISNUMBER(SEARCH("RandomOverSampler",A11)),ISNUMBER(SEARCH("BorderlineSmote",A11))),    "Oversampling",    IF(     OR(ISNUMBER(SEARCH("RandomUnderSampler",A11)),ISNUMBER(SEARCH("ClusterCentroids",A11)),ISNUMBER(SEARCH("OneSidedSelection",A11))),     "Undersampler",     "Czysty"    )   )  ) )</f>
        <v>Over+Under</v>
      </c>
      <c r="C11" s="1" t="s">
        <v>14</v>
      </c>
      <c r="D11" s="1" t="n">
        <v>0.4758</v>
      </c>
      <c r="E11" s="1" t="n">
        <v>0.3601</v>
      </c>
      <c r="F11" s="1" t="n">
        <v>0.3768</v>
      </c>
      <c r="G11" s="1" t="n">
        <v>0.3842</v>
      </c>
      <c r="L11" s="0"/>
    </row>
    <row r="12" customFormat="false" ht="15" hidden="false" customHeight="false" outlineLevel="0" collapsed="false">
      <c r="A12" s="1" t="s">
        <v>125</v>
      </c>
      <c r="B12" s="1" t="str">
        <f aca="false">IF(  OR(ISNUMBER(SEARCH("SMOTEENN",A12)),ISNUMBER(SEARCH("SMOTETomek",A12))),  "Hybrid",  IF(   AND(    OR(ISNUMBER(SEARCH("SMOTE",A12)),ISNUMBER(SEARCH("SVMSMOTE",A12)),ISNUMBER(SEARCH("RandomOverSampler",A12)),ISNUMBER(SEARCH("BorderlineSmote",A12))),    OR(ISNUMBER(SEARCH("RandomUnderSampler",A12)),ISNUMBER(SEARCH("ClusterCentroids",A12)),ISNUMBER(SEARCH("OneSidedSelection",A12)))   ),   "Over+Under",   IF(    OR(ISNUMBER(SEARCH("SMOTE",A12)),ISNUMBER(SEARCH("SVMSMOTE",A12)),ISNUMBER(SEARCH("RandomOverSampler",A12)),ISNUMBER(SEARCH("BorderlineSmote",A12))),    "Oversampling",    IF(     OR(ISNUMBER(SEARCH("RandomUnderSampler",A12)),ISNUMBER(SEARCH("ClusterCentroids",A12)),ISNUMBER(SEARCH("OneSidedSelection",A12))),     "Undersampler",     "Czysty"    )   )  ) )</f>
        <v>Over+Under</v>
      </c>
      <c r="C12" s="1" t="s">
        <v>14</v>
      </c>
      <c r="D12" s="1" t="n">
        <v>0.3366</v>
      </c>
      <c r="E12" s="1" t="n">
        <v>0.3479</v>
      </c>
      <c r="F12" s="1" t="n">
        <v>0.3471</v>
      </c>
      <c r="G12" s="1" t="n">
        <v>0.3915</v>
      </c>
      <c r="I12" s="0" t="s">
        <v>23</v>
      </c>
      <c r="L12" s="0"/>
    </row>
    <row r="13" customFormat="false" ht="15" hidden="false" customHeight="false" outlineLevel="0" collapsed="false">
      <c r="A13" s="1" t="s">
        <v>88</v>
      </c>
      <c r="B13" s="1" t="str">
        <f aca="false">IF(  OR(ISNUMBER(SEARCH("SMOTEENN",A13)),ISNUMBER(SEARCH("SMOTETomek",A13))),  "Hybrid",  IF(   AND(    OR(ISNUMBER(SEARCH("SMOTE",A13)),ISNUMBER(SEARCH("SVMSMOTE",A13)),ISNUMBER(SEARCH("RandomOverSampler",A13)),ISNUMBER(SEARCH("BorderlineSmote",A13))),    OR(ISNUMBER(SEARCH("RandomUnderSampler",A13)),ISNUMBER(SEARCH("ClusterCentroids",A13)),ISNUMBER(SEARCH("OneSidedSelection",A13)))   ),   "Over+Under",   IF(    OR(ISNUMBER(SEARCH("SMOTE",A13)),ISNUMBER(SEARCH("SVMSMOTE",A13)),ISNUMBER(SEARCH("RandomOverSampler",A13)),ISNUMBER(SEARCH("BorderlineSmote",A13))),    "Oversampling",    IF(     OR(ISNUMBER(SEARCH("RandomUnderSampler",A13)),ISNUMBER(SEARCH("ClusterCentroids",A13)),ISNUMBER(SEARCH("OneSidedSelection",A13))),     "Undersampler",     "Czysty"    )   )  ) )</f>
        <v>Over+Under</v>
      </c>
      <c r="C13" s="1" t="s">
        <v>14</v>
      </c>
      <c r="D13" s="1" t="n">
        <v>0.4303</v>
      </c>
      <c r="E13" s="1" t="n">
        <v>0.3303</v>
      </c>
      <c r="F13" s="1" t="n">
        <v>0.3362</v>
      </c>
      <c r="G13" s="1" t="n">
        <v>0.3716</v>
      </c>
      <c r="I13" s="0" t="s">
        <v>14</v>
      </c>
      <c r="J13" s="1" t="n">
        <f aca="false">MAX(E69:E83)</f>
        <v>0.3663</v>
      </c>
      <c r="K13" s="1" t="str">
        <f aca="false">INDEX(A69:A98,    MATCH(   J13,   E69:E98, 0)    )</f>
        <v>BorderlineSmote\newline+OneSidedSelection</v>
      </c>
      <c r="L13" s="0"/>
    </row>
    <row r="14" customFormat="false" ht="15" hidden="false" customHeight="false" outlineLevel="0" collapsed="false">
      <c r="A14" s="1" t="s">
        <v>86</v>
      </c>
      <c r="B14" s="1" t="str">
        <f aca="false">IF(  OR(ISNUMBER(SEARCH("SMOTEENN",A14)),ISNUMBER(SEARCH("SMOTETomek",A14))),  "Hybrid",  IF(   AND(    OR(ISNUMBER(SEARCH("SMOTE",A14)),ISNUMBER(SEARCH("SVMSMOTE",A14)),ISNUMBER(SEARCH("RandomOverSampler",A14)),ISNUMBER(SEARCH("BorderlineSmote",A14))),    OR(ISNUMBER(SEARCH("RandomUnderSampler",A14)),ISNUMBER(SEARCH("ClusterCentroids",A14)),ISNUMBER(SEARCH("OneSidedSelection",A14)))   ),   "Over+Under",   IF(    OR(ISNUMBER(SEARCH("SMOTE",A14)),ISNUMBER(SEARCH("SVMSMOTE",A14)),ISNUMBER(SEARCH("RandomOverSampler",A14)),ISNUMBER(SEARCH("BorderlineSmote",A14))),    "Oversampling",    IF(     OR(ISNUMBER(SEARCH("RandomUnderSampler",A14)),ISNUMBER(SEARCH("ClusterCentroids",A14)),ISNUMBER(SEARCH("OneSidedSelection",A14))),     "Undersampler",     "Czysty"    )   )  ) )</f>
        <v>Over+Under</v>
      </c>
      <c r="C14" s="1" t="s">
        <v>14</v>
      </c>
      <c r="D14" s="1" t="n">
        <v>0.3171</v>
      </c>
      <c r="E14" s="1" t="n">
        <v>0.328</v>
      </c>
      <c r="F14" s="1" t="n">
        <v>0.333</v>
      </c>
      <c r="G14" s="1" t="n">
        <v>0.3971</v>
      </c>
      <c r="I14" s="0" t="s">
        <v>74</v>
      </c>
      <c r="J14" s="1" t="n">
        <f aca="false">MAX(E84:E98)</f>
        <v>0.3838</v>
      </c>
      <c r="K14" s="1" t="str">
        <f aca="false">INDEX(A69:A98,    MATCH(   J14,   E69:E98, 0)    )</f>
        <v>SVMSMOTE</v>
      </c>
      <c r="L14" s="0"/>
    </row>
    <row r="15" customFormat="false" ht="15" hidden="false" customHeight="false" outlineLevel="0" collapsed="false">
      <c r="A15" s="1" t="s">
        <v>85</v>
      </c>
      <c r="B15" s="1" t="str">
        <f aca="false">IF(  OR(ISNUMBER(SEARCH("SMOTEENN",A15)),ISNUMBER(SEARCH("SMOTETomek",A15))),  "Hybrid",  IF(   AND(    OR(ISNUMBER(SEARCH("SMOTE",A15)),ISNUMBER(SEARCH("SVMSMOTE",A15)),ISNUMBER(SEARCH("RandomOverSampler",A15)),ISNUMBER(SEARCH("BorderlineSmote",A15))),    OR(ISNUMBER(SEARCH("RandomUnderSampler",A15)),ISNUMBER(SEARCH("ClusterCentroids",A15)),ISNUMBER(SEARCH("OneSidedSelection",A15)))   ),   "Over+Under",   IF(    OR(ISNUMBER(SEARCH("SMOTE",A15)),ISNUMBER(SEARCH("SVMSMOTE",A15)),ISNUMBER(SEARCH("RandomOverSampler",A15)),ISNUMBER(SEARCH("BorderlineSmote",A15))),    "Oversampling",    IF(     OR(ISNUMBER(SEARCH("RandomUnderSampler",A15)),ISNUMBER(SEARCH("ClusterCentroids",A15)),ISNUMBER(SEARCH("OneSidedSelection",A15))),     "Undersampler",     "Czysty"    )   )  ) )</f>
        <v>Over+Under</v>
      </c>
      <c r="C15" s="1" t="s">
        <v>14</v>
      </c>
      <c r="D15" s="1" t="n">
        <v>0.3129</v>
      </c>
      <c r="E15" s="1" t="n">
        <v>0.3273</v>
      </c>
      <c r="F15" s="1" t="n">
        <v>0.3396</v>
      </c>
      <c r="G15" s="1" t="n">
        <v>0.3954</v>
      </c>
      <c r="L15" s="0"/>
    </row>
    <row r="16" customFormat="false" ht="15" hidden="false" customHeight="false" outlineLevel="0" collapsed="false">
      <c r="A16" s="1" t="s">
        <v>87</v>
      </c>
      <c r="B16" s="1" t="str">
        <f aca="false">IF(  OR(ISNUMBER(SEARCH("SMOTEENN",A16)),ISNUMBER(SEARCH("SMOTETomek",A16))),  "Hybrid",  IF(   AND(    OR(ISNUMBER(SEARCH("SMOTE",A16)),ISNUMBER(SEARCH("SVMSMOTE",A16)),ISNUMBER(SEARCH("RandomOverSampler",A16)),ISNUMBER(SEARCH("BorderlineSmote",A16))),    OR(ISNUMBER(SEARCH("RandomUnderSampler",A16)),ISNUMBER(SEARCH("ClusterCentroids",A16)),ISNUMBER(SEARCH("OneSidedSelection",A16)))   ),   "Over+Under",   IF(    OR(ISNUMBER(SEARCH("SMOTE",A16)),ISNUMBER(SEARCH("SVMSMOTE",A16)),ISNUMBER(SEARCH("RandomOverSampler",A16)),ISNUMBER(SEARCH("BorderlineSmote",A16))),    "Oversampling",    IF(     OR(ISNUMBER(SEARCH("RandomUnderSampler",A16)),ISNUMBER(SEARCH("ClusterCentroids",A16)),ISNUMBER(SEARCH("OneSidedSelection",A16))),     "Undersampler",     "Czysty"    )   )  ) )</f>
        <v>Hybrid</v>
      </c>
      <c r="C16" s="1" t="s">
        <v>14</v>
      </c>
      <c r="D16" s="1" t="n">
        <v>0.2614</v>
      </c>
      <c r="E16" s="1" t="n">
        <v>0.3068</v>
      </c>
      <c r="F16" s="1" t="n">
        <v>0.2801</v>
      </c>
      <c r="G16" s="1" t="n">
        <v>0.4208</v>
      </c>
      <c r="I16" s="0" t="s">
        <v>26</v>
      </c>
      <c r="L16" s="0"/>
    </row>
    <row r="17" customFormat="false" ht="15" hidden="false" customHeight="false" outlineLevel="0" collapsed="false">
      <c r="A17" s="1" t="s">
        <v>1</v>
      </c>
      <c r="B17" s="1" t="str">
        <f aca="false">IF(  OR(ISNUMBER(SEARCH("SMOTEENN",A17)),ISNUMBER(SEARCH("SMOTETomek",A17))),  "Hybrid",  IF(   AND(    OR(ISNUMBER(SEARCH("SMOTE",A17)),ISNUMBER(SEARCH("SVMSMOTE",A17)),ISNUMBER(SEARCH("RandomOverSampler",A17)),ISNUMBER(SEARCH("BorderlineSmote",A17))),    OR(ISNUMBER(SEARCH("RandomUnderSampler",A17)),ISNUMBER(SEARCH("ClusterCentroids",A17)),ISNUMBER(SEARCH("OneSidedSelection",A17)))   ),   "Over+Under",   IF(    OR(ISNUMBER(SEARCH("SMOTE",A17)),ISNUMBER(SEARCH("SVMSMOTE",A17)),ISNUMBER(SEARCH("RandomOverSampler",A17)),ISNUMBER(SEARCH("BorderlineSmote",A17))),    "Oversampling",    IF(     OR(ISNUMBER(SEARCH("RandomUnderSampler",A17)),ISNUMBER(SEARCH("ClusterCentroids",A17)),ISNUMBER(SEARCH("OneSidedSelection",A17))),     "Undersampler",     "Czysty"    )   )  ) )</f>
        <v>Czysty</v>
      </c>
      <c r="C17" s="1" t="s">
        <v>14</v>
      </c>
      <c r="D17" s="1" t="n">
        <v>0.4934</v>
      </c>
      <c r="E17" s="1" t="n">
        <v>0.3041</v>
      </c>
      <c r="F17" s="1" t="n">
        <v>0.3851</v>
      </c>
      <c r="G17" s="1" t="n">
        <v>0.3284</v>
      </c>
      <c r="I17" s="0" t="s">
        <v>14</v>
      </c>
      <c r="J17" s="1" t="n">
        <f aca="false">MAX(E102:E116)</f>
        <v>0.3642</v>
      </c>
      <c r="K17" s="1" t="str">
        <f aca="false">INDEX(A102:A131,    MATCH(   J17,   E102:E131, 0)    )</f>
        <v>BorderlineSmote</v>
      </c>
      <c r="L17" s="0"/>
    </row>
    <row r="18" customFormat="false" ht="15" hidden="false" customHeight="false" outlineLevel="0" collapsed="false">
      <c r="A18" s="1" t="s">
        <v>123</v>
      </c>
      <c r="B18" s="1" t="str">
        <f aca="false">IF(  OR(ISNUMBER(SEARCH("SMOTEENN",A18)),ISNUMBER(SEARCH("SMOTETomek",A18))),  "Hybrid",  IF(   AND(    OR(ISNUMBER(SEARCH("SMOTE",A18)),ISNUMBER(SEARCH("SVMSMOTE",A18)),ISNUMBER(SEARCH("RandomOverSampler",A18)),ISNUMBER(SEARCH("BorderlineSmote",A18))),    OR(ISNUMBER(SEARCH("RandomUnderSampler",A18)),ISNUMBER(SEARCH("ClusterCentroids",A18)),ISNUMBER(SEARCH("OneSidedSelection",A18)))   ),   "Over+Under",   IF(    OR(ISNUMBER(SEARCH("SMOTE",A18)),ISNUMBER(SEARCH("SVMSMOTE",A18)),ISNUMBER(SEARCH("RandomOverSampler",A18)),ISNUMBER(SEARCH("BorderlineSmote",A18))),    "Oversampling",    IF(     OR(ISNUMBER(SEARCH("RandomUnderSampler",A18)),ISNUMBER(SEARCH("ClusterCentroids",A18)),ISNUMBER(SEARCH("OneSidedSelection",A18))),     "Undersampler",     "Czysty"    )   )  ) )</f>
        <v>Oversampling</v>
      </c>
      <c r="C18" s="1" t="s">
        <v>74</v>
      </c>
      <c r="D18" s="1" t="n">
        <v>0.5228</v>
      </c>
      <c r="E18" s="1" t="n">
        <v>0.4297</v>
      </c>
      <c r="F18" s="1" t="n">
        <v>0.4452</v>
      </c>
      <c r="G18" s="1" t="n">
        <v>0.4362</v>
      </c>
      <c r="I18" s="0" t="s">
        <v>74</v>
      </c>
      <c r="J18" s="1" t="n">
        <f aca="false">MAX(E117:E131)</f>
        <v>0.3993</v>
      </c>
      <c r="K18" s="1" t="str">
        <f aca="false">INDEX(A102:A131,    MATCH(   J18,   E102:E131, 0)    )</f>
        <v>BorderlineSmote</v>
      </c>
      <c r="L18" s="0"/>
    </row>
    <row r="19" customFormat="false" ht="15" hidden="false" customHeight="false" outlineLevel="0" collapsed="false">
      <c r="A19" s="1" t="s">
        <v>80</v>
      </c>
      <c r="B19" s="1" t="str">
        <f aca="false">IF(  OR(ISNUMBER(SEARCH("SMOTEENN",A19)),ISNUMBER(SEARCH("SMOTETomek",A19))),  "Hybrid",  IF(   AND(    OR(ISNUMBER(SEARCH("SMOTE",A19)),ISNUMBER(SEARCH("SVMSMOTE",A19)),ISNUMBER(SEARCH("RandomOverSampler",A19)),ISNUMBER(SEARCH("BorderlineSmote",A19))),    OR(ISNUMBER(SEARCH("RandomUnderSampler",A19)),ISNUMBER(SEARCH("ClusterCentroids",A19)),ISNUMBER(SEARCH("OneSidedSelection",A19)))   ),   "Over+Under",   IF(    OR(ISNUMBER(SEARCH("SMOTE",A19)),ISNUMBER(SEARCH("SVMSMOTE",A19)),ISNUMBER(SEARCH("RandomOverSampler",A19)),ISNUMBER(SEARCH("BorderlineSmote",A19))),    "Oversampling",    IF(     OR(ISNUMBER(SEARCH("RandomUnderSampler",A19)),ISNUMBER(SEARCH("ClusterCentroids",A19)),ISNUMBER(SEARCH("OneSidedSelection",A19))),     "Undersampler",     "Czysty"    )   )  ) )</f>
        <v>Hybrid</v>
      </c>
      <c r="C19" s="1" t="s">
        <v>74</v>
      </c>
      <c r="D19" s="1" t="n">
        <v>0.5109</v>
      </c>
      <c r="E19" s="1" t="n">
        <v>0.426</v>
      </c>
      <c r="F19" s="1" t="n">
        <v>0.4387</v>
      </c>
      <c r="G19" s="1" t="n">
        <v>0.4391</v>
      </c>
      <c r="I19" s="1"/>
      <c r="J19" s="1"/>
      <c r="K19" s="1"/>
      <c r="L19" s="0"/>
    </row>
    <row r="20" customFormat="false" ht="15" hidden="false" customHeight="false" outlineLevel="0" collapsed="false">
      <c r="A20" s="1" t="s">
        <v>83</v>
      </c>
      <c r="B20" s="1" t="str">
        <f aca="false">IF(  OR(ISNUMBER(SEARCH("SMOTEENN",A20)),ISNUMBER(SEARCH("SMOTETomek",A20))),  "Hybrid",  IF(   AND(    OR(ISNUMBER(SEARCH("SMOTE",A20)),ISNUMBER(SEARCH("SVMSMOTE",A20)),ISNUMBER(SEARCH("RandomOverSampler",A20)),ISNUMBER(SEARCH("BorderlineSmote",A20))),    OR(ISNUMBER(SEARCH("RandomUnderSampler",A20)),ISNUMBER(SEARCH("ClusterCentroids",A20)),ISNUMBER(SEARCH("OneSidedSelection",A20)))   ),   "Over+Under",   IF(    OR(ISNUMBER(SEARCH("SMOTE",A20)),ISNUMBER(SEARCH("SVMSMOTE",A20)),ISNUMBER(SEARCH("RandomOverSampler",A20)),ISNUMBER(SEARCH("BorderlineSmote",A20))),    "Oversampling",    IF(     OR(ISNUMBER(SEARCH("RandomUnderSampler",A20)),ISNUMBER(SEARCH("ClusterCentroids",A20)),ISNUMBER(SEARCH("OneSidedSelection",A20))),     "Undersampler",     "Czysty"    )   )  ) )</f>
        <v>Over+Under</v>
      </c>
      <c r="C20" s="1" t="s">
        <v>74</v>
      </c>
      <c r="D20" s="1" t="n">
        <v>0.4582</v>
      </c>
      <c r="E20" s="1" t="n">
        <v>0.4099</v>
      </c>
      <c r="F20" s="1" t="n">
        <v>0.3942</v>
      </c>
      <c r="G20" s="1" t="n">
        <v>0.4651</v>
      </c>
      <c r="I20" s="1"/>
      <c r="J20" s="1"/>
      <c r="K20" s="1"/>
      <c r="L20" s="0"/>
    </row>
    <row r="21" customFormat="false" ht="15" hidden="false" customHeight="false" outlineLevel="0" collapsed="false">
      <c r="A21" s="1" t="s">
        <v>124</v>
      </c>
      <c r="B21" s="1" t="str">
        <f aca="false">IF(  OR(ISNUMBER(SEARCH("SMOTEENN",A21)),ISNUMBER(SEARCH("SMOTETomek",A21))),  "Hybrid",  IF(   AND(    OR(ISNUMBER(SEARCH("SMOTE",A21)),ISNUMBER(SEARCH("SVMSMOTE",A21)),ISNUMBER(SEARCH("RandomOverSampler",A21)),ISNUMBER(SEARCH("BorderlineSmote",A21))),    OR(ISNUMBER(SEARCH("RandomUnderSampler",A21)),ISNUMBER(SEARCH("ClusterCentroids",A21)),ISNUMBER(SEARCH("OneSidedSelection",A21)))   ),   "Over+Under",   IF(    OR(ISNUMBER(SEARCH("SMOTE",A21)),ISNUMBER(SEARCH("SVMSMOTE",A21)),ISNUMBER(SEARCH("RandomOverSampler",A21)),ISNUMBER(SEARCH("BorderlineSmote",A21))),    "Oversampling",    IF(     OR(ISNUMBER(SEARCH("RandomUnderSampler",A21)),ISNUMBER(SEARCH("ClusterCentroids",A21)),ISNUMBER(SEARCH("OneSidedSelection",A21))),     "Undersampler",     "Czysty"    )   )  ) )</f>
        <v>Over+Under</v>
      </c>
      <c r="C21" s="1" t="s">
        <v>74</v>
      </c>
      <c r="D21" s="1" t="n">
        <v>0.4142</v>
      </c>
      <c r="E21" s="1" t="n">
        <v>0.3895</v>
      </c>
      <c r="F21" s="1" t="n">
        <v>0.3849</v>
      </c>
      <c r="G21" s="1" t="n">
        <v>0.444</v>
      </c>
      <c r="I21" s="1"/>
      <c r="J21" s="1"/>
      <c r="K21" s="1"/>
      <c r="L21" s="0"/>
    </row>
    <row r="22" customFormat="false" ht="15" hidden="false" customHeight="false" outlineLevel="0" collapsed="false">
      <c r="A22" s="1" t="s">
        <v>82</v>
      </c>
      <c r="B22" s="1" t="str">
        <f aca="false">IF(  OR(ISNUMBER(SEARCH("SMOTEENN",A22)),ISNUMBER(SEARCH("SMOTETomek",A22))),  "Hybrid",  IF(   AND(    OR(ISNUMBER(SEARCH("SMOTE",A22)),ISNUMBER(SEARCH("SVMSMOTE",A22)),ISNUMBER(SEARCH("RandomOverSampler",A22)),ISNUMBER(SEARCH("BorderlineSmote",A22))),    OR(ISNUMBER(SEARCH("RandomUnderSampler",A22)),ISNUMBER(SEARCH("ClusterCentroids",A22)),ISNUMBER(SEARCH("OneSidedSelection",A22)))   ),   "Over+Under",   IF(    OR(ISNUMBER(SEARCH("SMOTE",A22)),ISNUMBER(SEARCH("SVMSMOTE",A22)),ISNUMBER(SEARCH("RandomOverSampler",A22)),ISNUMBER(SEARCH("BorderlineSmote",A22))),    "Oversampling",    IF(     OR(ISNUMBER(SEARCH("RandomUnderSampler",A22)),ISNUMBER(SEARCH("ClusterCentroids",A22)),ISNUMBER(SEARCH("OneSidedSelection",A22))),     "Undersampler",     "Czysty"    )   )  ) )</f>
        <v>Over+Under</v>
      </c>
      <c r="C22" s="1" t="s">
        <v>74</v>
      </c>
      <c r="D22" s="1" t="n">
        <v>0.4082</v>
      </c>
      <c r="E22" s="1" t="n">
        <v>0.3884</v>
      </c>
      <c r="F22" s="1" t="n">
        <v>0.3809</v>
      </c>
      <c r="G22" s="1" t="n">
        <v>0.4342</v>
      </c>
      <c r="I22" s="1"/>
      <c r="J22" s="1"/>
      <c r="K22" s="1"/>
      <c r="L22" s="0"/>
    </row>
    <row r="23" customFormat="false" ht="15" hidden="false" customHeight="false" outlineLevel="0" collapsed="false">
      <c r="A23" s="1" t="s">
        <v>126</v>
      </c>
      <c r="B23" s="1" t="str">
        <f aca="false">IF(  OR(ISNUMBER(SEARCH("SMOTEENN",A23)),ISNUMBER(SEARCH("SMOTETomek",A23))),  "Hybrid",  IF(   AND(    OR(ISNUMBER(SEARCH("SMOTE",A23)),ISNUMBER(SEARCH("SVMSMOTE",A23)),ISNUMBER(SEARCH("RandomOverSampler",A23)),ISNUMBER(SEARCH("BorderlineSmote",A23))),    OR(ISNUMBER(SEARCH("RandomUnderSampler",A23)),ISNUMBER(SEARCH("ClusterCentroids",A23)),ISNUMBER(SEARCH("OneSidedSelection",A23)))   ),   "Over+Under",   IF(    OR(ISNUMBER(SEARCH("SMOTE",A23)),ISNUMBER(SEARCH("SVMSMOTE",A23)),ISNUMBER(SEARCH("RandomOverSampler",A23)),ISNUMBER(SEARCH("BorderlineSmote",A23))),    "Oversampling",    IF(     OR(ISNUMBER(SEARCH("RandomUnderSampler",A23)),ISNUMBER(SEARCH("ClusterCentroids",A23)),ISNUMBER(SEARCH("OneSidedSelection",A23))),     "Undersampler",     "Czysty"    )   )  ) )</f>
        <v>Oversampling</v>
      </c>
      <c r="C23" s="1" t="s">
        <v>74</v>
      </c>
      <c r="D23" s="1" t="n">
        <v>0.5153</v>
      </c>
      <c r="E23" s="1" t="n">
        <v>0.3867</v>
      </c>
      <c r="F23" s="1" t="n">
        <v>0.4149</v>
      </c>
      <c r="G23" s="1" t="n">
        <v>0.4072</v>
      </c>
      <c r="I23" s="1"/>
      <c r="J23" s="1"/>
      <c r="K23" s="1"/>
      <c r="L23" s="0"/>
    </row>
    <row r="24" customFormat="false" ht="15" hidden="false" customHeight="false" outlineLevel="0" collapsed="false">
      <c r="A24" s="1" t="s">
        <v>81</v>
      </c>
      <c r="B24" s="1" t="str">
        <f aca="false">IF(  OR(ISNUMBER(SEARCH("SMOTEENN",A24)),ISNUMBER(SEARCH("SMOTETomek",A24))),  "Hybrid",  IF(   AND(    OR(ISNUMBER(SEARCH("SMOTE",A24)),ISNUMBER(SEARCH("SVMSMOTE",A24)),ISNUMBER(SEARCH("RandomOverSampler",A24)),ISNUMBER(SEARCH("BorderlineSmote",A24))),    OR(ISNUMBER(SEARCH("RandomUnderSampler",A24)),ISNUMBER(SEARCH("ClusterCentroids",A24)),ISNUMBER(SEARCH("OneSidedSelection",A24)))   ),   "Over+Under",   IF(    OR(ISNUMBER(SEARCH("SMOTE",A24)),ISNUMBER(SEARCH("SVMSMOTE",A24)),ISNUMBER(SEARCH("RandomOverSampler",A24)),ISNUMBER(SEARCH("BorderlineSmote",A24))),    "Oversampling",    IF(     OR(ISNUMBER(SEARCH("RandomUnderSampler",A24)),ISNUMBER(SEARCH("ClusterCentroids",A24)),ISNUMBER(SEARCH("OneSidedSelection",A24))),     "Undersampler",     "Czysty"    )   )  ) )</f>
        <v>Oversampling</v>
      </c>
      <c r="C24" s="1" t="s">
        <v>74</v>
      </c>
      <c r="D24" s="1" t="n">
        <v>0.492</v>
      </c>
      <c r="E24" s="1" t="n">
        <v>0.3819</v>
      </c>
      <c r="F24" s="1" t="n">
        <v>0.3961</v>
      </c>
      <c r="G24" s="1" t="n">
        <v>0.3959</v>
      </c>
      <c r="I24" s="1"/>
      <c r="J24" s="1"/>
      <c r="K24" s="1"/>
      <c r="L24" s="0"/>
    </row>
    <row r="25" customFormat="false" ht="15" hidden="false" customHeight="false" outlineLevel="0" collapsed="false">
      <c r="A25" s="1" t="s">
        <v>125</v>
      </c>
      <c r="B25" s="1" t="str">
        <f aca="false">IF(  OR(ISNUMBER(SEARCH("SMOTEENN",A25)),ISNUMBER(SEARCH("SMOTETomek",A25))),  "Hybrid",  IF(   AND(    OR(ISNUMBER(SEARCH("SMOTE",A25)),ISNUMBER(SEARCH("SVMSMOTE",A25)),ISNUMBER(SEARCH("RandomOverSampler",A25)),ISNUMBER(SEARCH("BorderlineSmote",A25))),    OR(ISNUMBER(SEARCH("RandomUnderSampler",A25)),ISNUMBER(SEARCH("ClusterCentroids",A25)),ISNUMBER(SEARCH("OneSidedSelection",A25)))   ),   "Over+Under",   IF(    OR(ISNUMBER(SEARCH("SMOTE",A25)),ISNUMBER(SEARCH("SVMSMOTE",A25)),ISNUMBER(SEARCH("RandomOverSampler",A25)),ISNUMBER(SEARCH("BorderlineSmote",A25))),    "Oversampling",    IF(     OR(ISNUMBER(SEARCH("RandomUnderSampler",A25)),ISNUMBER(SEARCH("ClusterCentroids",A25)),ISNUMBER(SEARCH("OneSidedSelection",A25))),     "Undersampler",     "Czysty"    )   )  ) )</f>
        <v>Over+Under</v>
      </c>
      <c r="C25" s="1" t="s">
        <v>74</v>
      </c>
      <c r="D25" s="1" t="n">
        <v>0.3467</v>
      </c>
      <c r="E25" s="1" t="n">
        <v>0.3704</v>
      </c>
      <c r="F25" s="1" t="n">
        <v>0.3787</v>
      </c>
      <c r="G25" s="1" t="n">
        <v>0.4223</v>
      </c>
      <c r="I25" s="1"/>
      <c r="J25" s="1"/>
      <c r="K25" s="1"/>
      <c r="L25" s="0"/>
    </row>
    <row r="26" customFormat="false" ht="15" hidden="false" customHeight="false" outlineLevel="0" collapsed="false">
      <c r="A26" s="1" t="s">
        <v>79</v>
      </c>
      <c r="B26" s="1" t="str">
        <f aca="false">IF(  OR(ISNUMBER(SEARCH("SMOTEENN",A26)),ISNUMBER(SEARCH("SMOTETomek",A26))),  "Hybrid",  IF(   AND(    OR(ISNUMBER(SEARCH("SMOTE",A26)),ISNUMBER(SEARCH("SVMSMOTE",A26)),ISNUMBER(SEARCH("RandomOverSampler",A26)),ISNUMBER(SEARCH("BorderlineSmote",A26))),    OR(ISNUMBER(SEARCH("RandomUnderSampler",A26)),ISNUMBER(SEARCH("ClusterCentroids",A26)),ISNUMBER(SEARCH("OneSidedSelection",A26)))   ),   "Over+Under",   IF(    OR(ISNUMBER(SEARCH("SMOTE",A26)),ISNUMBER(SEARCH("SVMSMOTE",A26)),ISNUMBER(SEARCH("RandomOverSampler",A26)),ISNUMBER(SEARCH("BorderlineSmote",A26))),    "Oversampling",    IF(     OR(ISNUMBER(SEARCH("RandomUnderSampler",A26)),ISNUMBER(SEARCH("ClusterCentroids",A26)),ISNUMBER(SEARCH("OneSidedSelection",A26))),     "Undersampler",     "Czysty"    )   )  ) )</f>
        <v>Oversampling</v>
      </c>
      <c r="C26" s="1" t="s">
        <v>74</v>
      </c>
      <c r="D26" s="1" t="n">
        <v>0.4758</v>
      </c>
      <c r="E26" s="1" t="n">
        <v>0.3646</v>
      </c>
      <c r="F26" s="1" t="n">
        <v>0.3694</v>
      </c>
      <c r="G26" s="1" t="n">
        <v>0.3781</v>
      </c>
      <c r="I26" s="1"/>
      <c r="J26" s="1"/>
      <c r="K26" s="1"/>
      <c r="L26" s="0"/>
    </row>
    <row r="27" customFormat="false" ht="15" hidden="false" customHeight="false" outlineLevel="0" collapsed="false">
      <c r="A27" s="1" t="s">
        <v>84</v>
      </c>
      <c r="B27" s="1" t="str">
        <f aca="false">IF(  OR(ISNUMBER(SEARCH("SMOTEENN",A27)),ISNUMBER(SEARCH("SMOTETomek",A27))),  "Hybrid",  IF(   AND(    OR(ISNUMBER(SEARCH("SMOTE",A27)),ISNUMBER(SEARCH("SVMSMOTE",A27)),ISNUMBER(SEARCH("RandomOverSampler",A27)),ISNUMBER(SEARCH("BorderlineSmote",A27))),    OR(ISNUMBER(SEARCH("RandomUnderSampler",A27)),ISNUMBER(SEARCH("ClusterCentroids",A27)),ISNUMBER(SEARCH("OneSidedSelection",A27)))   ),   "Over+Under",   IF(    OR(ISNUMBER(SEARCH("SMOTE",A27)),ISNUMBER(SEARCH("SVMSMOTE",A27)),ISNUMBER(SEARCH("RandomOverSampler",A27)),ISNUMBER(SEARCH("BorderlineSmote",A27))),    "Oversampling",    IF(     OR(ISNUMBER(SEARCH("RandomUnderSampler",A27)),ISNUMBER(SEARCH("ClusterCentroids",A27)),ISNUMBER(SEARCH("OneSidedSelection",A27))),     "Undersampler",     "Czysty"    )   )  ) )</f>
        <v>Over+Under</v>
      </c>
      <c r="C27" s="1" t="s">
        <v>74</v>
      </c>
      <c r="D27" s="1" t="n">
        <v>0.464</v>
      </c>
      <c r="E27" s="1" t="n">
        <v>0.3568</v>
      </c>
      <c r="F27" s="1" t="n">
        <v>0.4033</v>
      </c>
      <c r="G27" s="1" t="n">
        <v>0.3887</v>
      </c>
      <c r="I27" s="1"/>
      <c r="J27" s="1"/>
      <c r="K27" s="1"/>
      <c r="L27" s="0"/>
    </row>
    <row r="28" customFormat="false" ht="15" hidden="false" customHeight="false" outlineLevel="0" collapsed="false">
      <c r="A28" s="1" t="s">
        <v>86</v>
      </c>
      <c r="B28" s="1" t="str">
        <f aca="false">IF(  OR(ISNUMBER(SEARCH("SMOTEENN",A28)),ISNUMBER(SEARCH("SMOTETomek",A28))),  "Hybrid",  IF(   AND(    OR(ISNUMBER(SEARCH("SMOTE",A28)),ISNUMBER(SEARCH("SVMSMOTE",A28)),ISNUMBER(SEARCH("RandomOverSampler",A28)),ISNUMBER(SEARCH("BorderlineSmote",A28))),    OR(ISNUMBER(SEARCH("RandomUnderSampler",A28)),ISNUMBER(SEARCH("ClusterCentroids",A28)),ISNUMBER(SEARCH("OneSidedSelection",A28)))   ),   "Over+Under",   IF(    OR(ISNUMBER(SEARCH("SMOTE",A28)),ISNUMBER(SEARCH("SVMSMOTE",A28)),ISNUMBER(SEARCH("RandomOverSampler",A28)),ISNUMBER(SEARCH("BorderlineSmote",A28))),    "Oversampling",    IF(     OR(ISNUMBER(SEARCH("RandomUnderSampler",A28)),ISNUMBER(SEARCH("ClusterCentroids",A28)),ISNUMBER(SEARCH("OneSidedSelection",A28))),     "Undersampler",     "Czysty"    )   )  ) )</f>
        <v>Over+Under</v>
      </c>
      <c r="C28" s="1" t="s">
        <v>74</v>
      </c>
      <c r="D28" s="1" t="n">
        <v>0.3451</v>
      </c>
      <c r="E28" s="1" t="n">
        <v>0.351</v>
      </c>
      <c r="F28" s="1" t="n">
        <v>0.3614</v>
      </c>
      <c r="G28" s="1" t="n">
        <v>0.4076</v>
      </c>
      <c r="I28" s="1"/>
      <c r="J28" s="1"/>
      <c r="K28" s="1"/>
      <c r="L28" s="0"/>
    </row>
    <row r="29" customFormat="false" ht="15" hidden="false" customHeight="false" outlineLevel="0" collapsed="false">
      <c r="A29" s="1" t="s">
        <v>88</v>
      </c>
      <c r="B29" s="1" t="str">
        <f aca="false">IF(  OR(ISNUMBER(SEARCH("SMOTEENN",A29)),ISNUMBER(SEARCH("SMOTETomek",A29))),  "Hybrid",  IF(   AND(    OR(ISNUMBER(SEARCH("SMOTE",A29)),ISNUMBER(SEARCH("SVMSMOTE",A29)),ISNUMBER(SEARCH("RandomOverSampler",A29)),ISNUMBER(SEARCH("BorderlineSmote",A29))),    OR(ISNUMBER(SEARCH("RandomUnderSampler",A29)),ISNUMBER(SEARCH("ClusterCentroids",A29)),ISNUMBER(SEARCH("OneSidedSelection",A29)))   ),   "Over+Under",   IF(    OR(ISNUMBER(SEARCH("SMOTE",A29)),ISNUMBER(SEARCH("SVMSMOTE",A29)),ISNUMBER(SEARCH("RandomOverSampler",A29)),ISNUMBER(SEARCH("BorderlineSmote",A29))),    "Oversampling",    IF(     OR(ISNUMBER(SEARCH("RandomUnderSampler",A29)),ISNUMBER(SEARCH("ClusterCentroids",A29)),ISNUMBER(SEARCH("OneSidedSelection",A29))),     "Undersampler",     "Czysty"    )   )  ) )</f>
        <v>Over+Under</v>
      </c>
      <c r="C29" s="1" t="s">
        <v>74</v>
      </c>
      <c r="D29" s="1" t="n">
        <v>0.4392</v>
      </c>
      <c r="E29" s="1" t="n">
        <v>0.349</v>
      </c>
      <c r="F29" s="1" t="n">
        <v>0.3474</v>
      </c>
      <c r="G29" s="1" t="n">
        <v>0.3881</v>
      </c>
      <c r="I29" s="1"/>
      <c r="J29" s="1"/>
      <c r="K29" s="1"/>
      <c r="L29" s="0"/>
    </row>
    <row r="30" customFormat="false" ht="15" hidden="false" customHeight="false" outlineLevel="0" collapsed="false">
      <c r="A30" s="1" t="s">
        <v>85</v>
      </c>
      <c r="B30" s="1" t="str">
        <f aca="false">IF(  OR(ISNUMBER(SEARCH("SMOTEENN",A30)),ISNUMBER(SEARCH("SMOTETomek",A30))),  "Hybrid",  IF(   AND(    OR(ISNUMBER(SEARCH("SMOTE",A30)),ISNUMBER(SEARCH("SVMSMOTE",A30)),ISNUMBER(SEARCH("RandomOverSampler",A30)),ISNUMBER(SEARCH("BorderlineSmote",A30))),    OR(ISNUMBER(SEARCH("RandomUnderSampler",A30)),ISNUMBER(SEARCH("ClusterCentroids",A30)),ISNUMBER(SEARCH("OneSidedSelection",A30)))   ),   "Over+Under",   IF(    OR(ISNUMBER(SEARCH("SMOTE",A30)),ISNUMBER(SEARCH("SVMSMOTE",A30)),ISNUMBER(SEARCH("RandomOverSampler",A30)),ISNUMBER(SEARCH("BorderlineSmote",A30))),    "Oversampling",    IF(     OR(ISNUMBER(SEARCH("RandomUnderSampler",A30)),ISNUMBER(SEARCH("ClusterCentroids",A30)),ISNUMBER(SEARCH("OneSidedSelection",A30))),     "Undersampler",     "Czysty"    )   )  ) )</f>
        <v>Over+Under</v>
      </c>
      <c r="C30" s="1" t="s">
        <v>74</v>
      </c>
      <c r="D30" s="1" t="n">
        <v>0.3437</v>
      </c>
      <c r="E30" s="1" t="n">
        <v>0.3335</v>
      </c>
      <c r="F30" s="1" t="n">
        <v>0.3347</v>
      </c>
      <c r="G30" s="1" t="n">
        <v>0.3862</v>
      </c>
      <c r="I30" s="1"/>
      <c r="J30" s="1"/>
      <c r="K30" s="1"/>
      <c r="L30" s="0"/>
    </row>
    <row r="31" customFormat="false" ht="15" hidden="false" customHeight="false" outlineLevel="0" collapsed="false">
      <c r="A31" s="1" t="s">
        <v>1</v>
      </c>
      <c r="B31" s="1" t="str">
        <f aca="false">IF(  OR(ISNUMBER(SEARCH("SMOTEENN",A31)),ISNUMBER(SEARCH("SMOTETomek",A31))),  "Hybrid",  IF(   AND(    OR(ISNUMBER(SEARCH("SMOTE",A31)),ISNUMBER(SEARCH("SVMSMOTE",A31)),ISNUMBER(SEARCH("RandomOverSampler",A31)),ISNUMBER(SEARCH("BorderlineSmote",A31))),    OR(ISNUMBER(SEARCH("RandomUnderSampler",A31)),ISNUMBER(SEARCH("ClusterCentroids",A31)),ISNUMBER(SEARCH("OneSidedSelection",A31)))   ),   "Over+Under",   IF(    OR(ISNUMBER(SEARCH("SMOTE",A31)),ISNUMBER(SEARCH("SVMSMOTE",A31)),ISNUMBER(SEARCH("RandomOverSampler",A31)),ISNUMBER(SEARCH("BorderlineSmote",A31))),    "Oversampling",    IF(     OR(ISNUMBER(SEARCH("RandomUnderSampler",A31)),ISNUMBER(SEARCH("ClusterCentroids",A31)),ISNUMBER(SEARCH("OneSidedSelection",A31))),     "Undersampler",     "Czysty"    )   )  ) )</f>
        <v>Czysty</v>
      </c>
      <c r="C31" s="1" t="s">
        <v>74</v>
      </c>
      <c r="D31" s="1" t="n">
        <v>0.511</v>
      </c>
      <c r="E31" s="1" t="n">
        <v>0.3208</v>
      </c>
      <c r="F31" s="1" t="n">
        <v>0.3841</v>
      </c>
      <c r="G31" s="1" t="n">
        <v>0.3513</v>
      </c>
      <c r="I31" s="1"/>
      <c r="J31" s="1"/>
      <c r="K31" s="1"/>
      <c r="L31" s="0"/>
    </row>
    <row r="32" customFormat="false" ht="15" hidden="false" customHeight="false" outlineLevel="0" collapsed="false">
      <c r="A32" s="1" t="s">
        <v>87</v>
      </c>
      <c r="B32" s="1" t="str">
        <f aca="false">IF(  OR(ISNUMBER(SEARCH("SMOTEENN",A32)),ISNUMBER(SEARCH("SMOTETomek",A32))),  "Hybrid",  IF(   AND(    OR(ISNUMBER(SEARCH("SMOTE",A32)),ISNUMBER(SEARCH("SVMSMOTE",A32)),ISNUMBER(SEARCH("RandomOverSampler",A32)),ISNUMBER(SEARCH("BorderlineSmote",A32))),    OR(ISNUMBER(SEARCH("RandomUnderSampler",A32)),ISNUMBER(SEARCH("ClusterCentroids",A32)),ISNUMBER(SEARCH("OneSidedSelection",A32)))   ),   "Over+Under",   IF(    OR(ISNUMBER(SEARCH("SMOTE",A32)),ISNUMBER(SEARCH("SVMSMOTE",A32)),ISNUMBER(SEARCH("RandomOverSampler",A32)),ISNUMBER(SEARCH("BorderlineSmote",A32))),    "Oversampling",    IF(     OR(ISNUMBER(SEARCH("RandomUnderSampler",A32)),ISNUMBER(SEARCH("ClusterCentroids",A32)),ISNUMBER(SEARCH("OneSidedSelection",A32))),     "Undersampler",     "Czysty"    )   )  ) )</f>
        <v>Hybrid</v>
      </c>
      <c r="C32" s="1" t="s">
        <v>74</v>
      </c>
      <c r="D32" s="1" t="n">
        <v>0.2511</v>
      </c>
      <c r="E32" s="1" t="n">
        <v>0.3003</v>
      </c>
      <c r="F32" s="1" t="n">
        <v>0.2762</v>
      </c>
      <c r="G32" s="1" t="n">
        <v>0.4112</v>
      </c>
      <c r="I32" s="1"/>
      <c r="J32" s="1"/>
      <c r="K32" s="1"/>
      <c r="L32" s="0"/>
    </row>
    <row r="33" customFormat="false" ht="15" hidden="false" customHeight="false" outlineLevel="0" collapsed="false">
      <c r="L33" s="0"/>
    </row>
    <row r="34" customFormat="false" ht="15" hidden="false" customHeight="false" outlineLevel="0" collapsed="false">
      <c r="A34" s="2" t="s">
        <v>17</v>
      </c>
      <c r="B34" s="2"/>
      <c r="C34" s="2"/>
      <c r="D34" s="2"/>
      <c r="E34" s="2"/>
      <c r="F34" s="2"/>
      <c r="G34" s="2"/>
      <c r="L34" s="1" t="str">
        <f aca="false">IF(  OR(ISNUMBER(SEARCH("SMOTEENN",A34)),ISNUMBER(SEARCH("SMOTETomek",A34))),  "Hybrid",  IF(   AND(    OR(ISNUMBER(SEARCH("SMOTE",A34)),ISNUMBER(SEARCH("SVMSMOTE",A34)),ISNUMBER(SEARCH("RandomOverSampler",A34)),ISNUMBER(SEARCH("BorderlineSmote",A34))),    OR(ISNUMBER(SEARCH("RandomUnderSampler",A34)),ISNUMBER(SEARCH("ClusterCentroids",A34)),ISNUMBER(SEARCH("OneSidedSelection",A34)))   ),   "Over+Under",   IF(    OR(ISNUMBER(SEARCH("SMOTE",A34)),ISNUMBER(SEARCH("SVMSMOTE",A34)),ISNUMBER(SEARCH("RandomOverSampler",A34)),ISNUMBER(SEARCH("BorderlineSmote",A34))),    "Oversampling",    IF(     OR(ISNUMBER(SEARCH("RandomUnderSampler",A34)),ISNUMBER(SEARCH("ClusterCentroids",A34)),ISNUMBER(SEARCH("OneSidedSelection",A34))),     "Undersampler",     ""    )   )  ) )</f>
        <v/>
      </c>
    </row>
    <row r="35" customFormat="false" ht="15" hidden="false" customHeight="false" outlineLevel="0" collapsed="false">
      <c r="A35" s="4" t="s">
        <v>2</v>
      </c>
      <c r="B35" s="4" t="s">
        <v>4</v>
      </c>
      <c r="C35" s="4" t="s">
        <v>5</v>
      </c>
      <c r="D35" s="4" t="s">
        <v>6</v>
      </c>
      <c r="E35" s="4" t="s">
        <v>8</v>
      </c>
      <c r="F35" s="4" t="s">
        <v>9</v>
      </c>
      <c r="G35" s="4" t="s">
        <v>10</v>
      </c>
      <c r="L35" s="1" t="str">
        <f aca="false">IF(  OR(ISNUMBER(SEARCH("SMOTEENN",A35)),ISNUMBER(SEARCH("SMOTETomek",A35))),  "Hybrid",  IF(   AND(    OR(ISNUMBER(SEARCH("SMOTE",A35)),ISNUMBER(SEARCH("SVMSMOTE",A35)),ISNUMBER(SEARCH("RandomOverSampler",A35)),ISNUMBER(SEARCH("BorderlineSmote",A35))),    OR(ISNUMBER(SEARCH("RandomUnderSampler",A35)),ISNUMBER(SEARCH("ClusterCentroids",A35)),ISNUMBER(SEARCH("OneSidedSelection",A35)))   ),   "Over+Under",   IF(    OR(ISNUMBER(SEARCH("SMOTE",A35)),ISNUMBER(SEARCH("SVMSMOTE",A35)),ISNUMBER(SEARCH("RandomOverSampler",A35)),ISNUMBER(SEARCH("BorderlineSmote",A35))),    "Oversampling",    IF(     OR(ISNUMBER(SEARCH("RandomUnderSampler",A35)),ISNUMBER(SEARCH("ClusterCentroids",A35)),ISNUMBER(SEARCH("OneSidedSelection",A35))),     "Undersampler",     ""    )   )  ) )</f>
        <v/>
      </c>
    </row>
    <row r="36" customFormat="false" ht="15" hidden="false" customHeight="false" outlineLevel="0" collapsed="false">
      <c r="A36" s="1" t="s">
        <v>79</v>
      </c>
      <c r="B36" s="1" t="str">
        <f aca="false">IF(  OR(ISNUMBER(SEARCH("SMOTEENN",A36)),ISNUMBER(SEARCH("SMOTETomek",A36))),  "Hybrid",  IF(   AND(    OR(ISNUMBER(SEARCH("SMOTE",A36)),ISNUMBER(SEARCH("SVMSMOTE",A36)),ISNUMBER(SEARCH("RandomOverSampler",A36)),ISNUMBER(SEARCH("BorderlineSmote",A36))),    OR(ISNUMBER(SEARCH("RandomUnderSampler",A36)),ISNUMBER(SEARCH("ClusterCentroids",A36)),ISNUMBER(SEARCH("OneSidedSelection",A36)))   ),   "Over+Under",   IF(    OR(ISNUMBER(SEARCH("SMOTE",A36)),ISNUMBER(SEARCH("SVMSMOTE",A36)),ISNUMBER(SEARCH("RandomOverSampler",A36)),ISNUMBER(SEARCH("BorderlineSmote",A36))),    "Oversampling",    IF(     OR(ISNUMBER(SEARCH("RandomUnderSampler",A36)),ISNUMBER(SEARCH("ClusterCentroids",A36)),ISNUMBER(SEARCH("OneSidedSelection",A36))),     "Over+Under",     "Czysty"    )   )  ) )</f>
        <v>Oversampling</v>
      </c>
      <c r="C36" s="1" t="s">
        <v>14</v>
      </c>
      <c r="D36" s="1" t="n">
        <v>0.5272</v>
      </c>
      <c r="E36" s="1" t="n">
        <v>0.4303</v>
      </c>
      <c r="F36" s="1" t="n">
        <v>0.4518</v>
      </c>
      <c r="G36" s="1" t="n">
        <v>0.4369</v>
      </c>
      <c r="I36" s="1" t="str">
        <f aca="false">IF(  AND(   OR(ISNUMBER(SEARCH("SMOTE",#REF!)),ISNUMBER(SEARCH("SVMSMOTE",#REF!)),ISNUMBER(SEARCH("RandomOverSampler",#REF!)),ISNUMBER(SEARCH("BorderlineSmote",#REF!))),   OR(ISNUMBER(SEARCH("RandomUnderSampler",#REF!)),ISNUMBER(SEARCH("ClusterCentroids",#REF!)),ISNUMBER(SEARCH("OneSidedSelection",#REF!)))  ),  "Over+Under",  IF(   OR(ISNUMBER(SEARCH("SMOTE",#REF!)),ISNUMBER(SEARCH("SVMSMOTE",#REF!)),ISNUMBER(SEARCH("RandomOverSampler",#REF!)),ISNUMBER(SEARCH("BorderlineSmote",#REF!))),   "Oversampler",   IF(    OR(ISNUMBER(SEARCH("RandomUnderSampler",#REF!)),ISNUMBER(SEARCH("ClusterCentroids",#REF!)),ISNUMBER(SEARCH("OneSidedSelection",#REF!))),    "Undersampler",    ""   )  ) )</f>
        <v/>
      </c>
      <c r="J36" s="1"/>
      <c r="K36" s="1"/>
      <c r="L36" s="1" t="str">
        <f aca="false">IF(  OR(ISNUMBER(SEARCH("SMOTEENN",A36)),ISNUMBER(SEARCH("SMOTETomek",A36))),  "Hybrid",  IF(   AND(    OR(ISNUMBER(SEARCH("SMOTE",A36)),ISNUMBER(SEARCH("SVMSMOTE",A36)),ISNUMBER(SEARCH("RandomOverSampler",A36)),ISNUMBER(SEARCH("BorderlineSmote",A36))),    OR(ISNUMBER(SEARCH("RandomUnderSampler",A36)),ISNUMBER(SEARCH("ClusterCentroids",A36)),ISNUMBER(SEARCH("OneSidedSelection",A36)))   ),   "Over+Under",   IF(    OR(ISNUMBER(SEARCH("SMOTE",A36)),ISNUMBER(SEARCH("SVMSMOTE",A36)),ISNUMBER(SEARCH("RandomOverSampler",A36)),ISNUMBER(SEARCH("BorderlineSmote",A36))),    "Oversampling",    IF(     OR(ISNUMBER(SEARCH("RandomUnderSampler",A36)),ISNUMBER(SEARCH("ClusterCentroids",A36)),ISNUMBER(SEARCH("OneSidedSelection",A36))),     "Undersampler",     ""    )   )  ) )</f>
        <v>Oversampling</v>
      </c>
      <c r="M36" s="1"/>
      <c r="N36" s="1"/>
    </row>
    <row r="37" customFormat="false" ht="15" hidden="false" customHeight="false" outlineLevel="0" collapsed="false">
      <c r="A37" s="1" t="s">
        <v>80</v>
      </c>
      <c r="B37" s="1" t="str">
        <f aca="false">IF(  OR(ISNUMBER(SEARCH("SMOTEENN",A37)),ISNUMBER(SEARCH("SMOTETomek",A37))),  "Hybrid",  IF(   AND(    OR(ISNUMBER(SEARCH("SMOTE",A37)),ISNUMBER(SEARCH("SVMSMOTE",A37)),ISNUMBER(SEARCH("RandomOverSampler",A37)),ISNUMBER(SEARCH("BorderlineSmote",A37))),    OR(ISNUMBER(SEARCH("RandomUnderSampler",A37)),ISNUMBER(SEARCH("ClusterCentroids",A37)),ISNUMBER(SEARCH("OneSidedSelection",A37)))   ),   "Over+Under",   IF(    OR(ISNUMBER(SEARCH("SMOTE",A37)),ISNUMBER(SEARCH("SVMSMOTE",A37)),ISNUMBER(SEARCH("RandomOverSampler",A37)),ISNUMBER(SEARCH("BorderlineSmote",A37))),    "Oversampling",    IF(     OR(ISNUMBER(SEARCH("RandomUnderSampler",A37)),ISNUMBER(SEARCH("ClusterCentroids",A37)),ISNUMBER(SEARCH("OneSidedSelection",A37))),     "Over+Under",     "Czysty"    )   )  ) )</f>
        <v>Hybrid</v>
      </c>
      <c r="C37" s="1" t="s">
        <v>14</v>
      </c>
      <c r="D37" s="1" t="n">
        <v>0.4949</v>
      </c>
      <c r="E37" s="1" t="n">
        <v>0.4006</v>
      </c>
      <c r="F37" s="1" t="n">
        <v>0.4275</v>
      </c>
      <c r="G37" s="1" t="n">
        <v>0.4036</v>
      </c>
      <c r="I37" s="1"/>
      <c r="J37" s="1"/>
      <c r="K37" s="1"/>
      <c r="L37" s="1" t="str">
        <f aca="false">IF(  OR(ISNUMBER(SEARCH("SMOTEENN",A37)),ISNUMBER(SEARCH("SMOTETomek",A37))),  "Hybrid",  IF(   AND(    OR(ISNUMBER(SEARCH("SMOTE",A37)),ISNUMBER(SEARCH("SVMSMOTE",A37)),ISNUMBER(SEARCH("RandomOverSampler",A37)),ISNUMBER(SEARCH("BorderlineSmote",A37))),    OR(ISNUMBER(SEARCH("RandomUnderSampler",A37)),ISNUMBER(SEARCH("ClusterCentroids",A37)),ISNUMBER(SEARCH("OneSidedSelection",A37)))   ),   "Over+Under",   IF(    OR(ISNUMBER(SEARCH("SMOTE",A37)),ISNUMBER(SEARCH("SVMSMOTE",A37)),ISNUMBER(SEARCH("RandomOverSampler",A37)),ISNUMBER(SEARCH("BorderlineSmote",A37))),    "Oversampling",    IF(     OR(ISNUMBER(SEARCH("RandomUnderSampler",A37)),ISNUMBER(SEARCH("ClusterCentroids",A37)),ISNUMBER(SEARCH("OneSidedSelection",A37))),     "Undersampler",     ""    )   )  ) )</f>
        <v>Hybrid</v>
      </c>
      <c r="M37" s="1"/>
      <c r="N37" s="1"/>
    </row>
    <row r="38" customFormat="false" ht="15" hidden="false" customHeight="false" outlineLevel="0" collapsed="false">
      <c r="A38" s="1" t="s">
        <v>81</v>
      </c>
      <c r="B38" s="1" t="str">
        <f aca="false">IF(  OR(ISNUMBER(SEARCH("SMOTEENN",A38)),ISNUMBER(SEARCH("SMOTETomek",A38))),  "Hybrid",  IF(   AND(    OR(ISNUMBER(SEARCH("SMOTE",A38)),ISNUMBER(SEARCH("SVMSMOTE",A38)),ISNUMBER(SEARCH("RandomOverSampler",A38)),ISNUMBER(SEARCH("BorderlineSmote",A38))),    OR(ISNUMBER(SEARCH("RandomUnderSampler",A38)),ISNUMBER(SEARCH("ClusterCentroids",A38)),ISNUMBER(SEARCH("OneSidedSelection",A38)))   ),   "Over+Under",   IF(    OR(ISNUMBER(SEARCH("SMOTE",A38)),ISNUMBER(SEARCH("SVMSMOTE",A38)),ISNUMBER(SEARCH("RandomOverSampler",A38)),ISNUMBER(SEARCH("BorderlineSmote",A38))),    "Oversampling",    IF(     OR(ISNUMBER(SEARCH("RandomUnderSampler",A38)),ISNUMBER(SEARCH("ClusterCentroids",A38)),ISNUMBER(SEARCH("OneSidedSelection",A38))),     "Over+Under",     "Czysty"    )   )  ) )</f>
        <v>Oversampling</v>
      </c>
      <c r="C38" s="1" t="s">
        <v>14</v>
      </c>
      <c r="D38" s="1" t="n">
        <v>0.5153</v>
      </c>
      <c r="E38" s="1" t="n">
        <v>0.3986</v>
      </c>
      <c r="F38" s="1" t="n">
        <v>0.4245</v>
      </c>
      <c r="G38" s="1" t="n">
        <v>0.409</v>
      </c>
      <c r="I38" s="1"/>
      <c r="J38" s="1"/>
      <c r="K38" s="1"/>
      <c r="L38" s="1" t="str">
        <f aca="false">IF(  OR(ISNUMBER(SEARCH("SMOTEENN",A38)),ISNUMBER(SEARCH("SMOTETomek",A38))),  "Hybrid",  IF(   AND(    OR(ISNUMBER(SEARCH("SMOTE",A38)),ISNUMBER(SEARCH("SVMSMOTE",A38)),ISNUMBER(SEARCH("RandomOverSampler",A38)),ISNUMBER(SEARCH("BorderlineSmote",A38))),    OR(ISNUMBER(SEARCH("RandomUnderSampler",A38)),ISNUMBER(SEARCH("ClusterCentroids",A38)),ISNUMBER(SEARCH("OneSidedSelection",A38)))   ),   "Over+Under",   IF(    OR(ISNUMBER(SEARCH("SMOTE",A38)),ISNUMBER(SEARCH("SVMSMOTE",A38)),ISNUMBER(SEARCH("RandomOverSampler",A38)),ISNUMBER(SEARCH("BorderlineSmote",A38))),    "Oversampling",    IF(     OR(ISNUMBER(SEARCH("RandomUnderSampler",A38)),ISNUMBER(SEARCH("ClusterCentroids",A38)),ISNUMBER(SEARCH("OneSidedSelection",A38))),     "Undersampler",     ""    )   )  ) )</f>
        <v>Oversampling</v>
      </c>
      <c r="M38" s="1"/>
      <c r="N38" s="1"/>
    </row>
    <row r="39" customFormat="false" ht="15" hidden="false" customHeight="false" outlineLevel="0" collapsed="false">
      <c r="A39" s="1" t="s">
        <v>123</v>
      </c>
      <c r="B39" s="1" t="str">
        <f aca="false">IF(  OR(ISNUMBER(SEARCH("SMOTEENN",A39)),ISNUMBER(SEARCH("SMOTETomek",A39))),  "Hybrid",  IF(   AND(    OR(ISNUMBER(SEARCH("SMOTE",A39)),ISNUMBER(SEARCH("SVMSMOTE",A39)),ISNUMBER(SEARCH("RandomOverSampler",A39)),ISNUMBER(SEARCH("BorderlineSmote",A39))),    OR(ISNUMBER(SEARCH("RandomUnderSampler",A39)),ISNUMBER(SEARCH("ClusterCentroids",A39)),ISNUMBER(SEARCH("OneSidedSelection",A39)))   ),   "Over+Under",   IF(    OR(ISNUMBER(SEARCH("SMOTE",A39)),ISNUMBER(SEARCH("SVMSMOTE",A39)),ISNUMBER(SEARCH("RandomOverSampler",A39)),ISNUMBER(SEARCH("BorderlineSmote",A39))),    "Oversampling",    IF(     OR(ISNUMBER(SEARCH("RandomUnderSampler",A39)),ISNUMBER(SEARCH("ClusterCentroids",A39)),ISNUMBER(SEARCH("OneSidedSelection",A39))),     "Over+Under",     "Czysty"    )   )  ) )</f>
        <v>Oversampling</v>
      </c>
      <c r="C39" s="1" t="s">
        <v>14</v>
      </c>
      <c r="D39" s="1" t="n">
        <v>0.4949</v>
      </c>
      <c r="E39" s="1" t="n">
        <v>0.392</v>
      </c>
      <c r="F39" s="1" t="n">
        <v>0.3971</v>
      </c>
      <c r="G39" s="1" t="n">
        <v>0.4092</v>
      </c>
      <c r="I39" s="1"/>
      <c r="J39" s="1"/>
      <c r="K39" s="1"/>
      <c r="L39" s="1" t="str">
        <f aca="false">IF(  OR(ISNUMBER(SEARCH("SMOTEENN",A39)),ISNUMBER(SEARCH("SMOTETomek",A39))),  "Hybrid",  IF(   AND(    OR(ISNUMBER(SEARCH("SMOTE",A39)),ISNUMBER(SEARCH("SVMSMOTE",A39)),ISNUMBER(SEARCH("RandomOverSampler",A39)),ISNUMBER(SEARCH("BorderlineSmote",A39))),    OR(ISNUMBER(SEARCH("RandomUnderSampler",A39)),ISNUMBER(SEARCH("ClusterCentroids",A39)),ISNUMBER(SEARCH("OneSidedSelection",A39)))   ),   "Over+Under",   IF(    OR(ISNUMBER(SEARCH("SMOTE",A39)),ISNUMBER(SEARCH("SVMSMOTE",A39)),ISNUMBER(SEARCH("RandomOverSampler",A39)),ISNUMBER(SEARCH("BorderlineSmote",A39))),    "Oversampling",    IF(     OR(ISNUMBER(SEARCH("RandomUnderSampler",A39)),ISNUMBER(SEARCH("ClusterCentroids",A39)),ISNUMBER(SEARCH("OneSidedSelection",A39))),     "Undersampler",     ""    )   )  ) )</f>
        <v>Oversampling</v>
      </c>
      <c r="M39" s="1"/>
      <c r="N39" s="1"/>
    </row>
    <row r="40" customFormat="false" ht="15" hidden="false" customHeight="false" outlineLevel="0" collapsed="false">
      <c r="A40" s="1" t="s">
        <v>126</v>
      </c>
      <c r="B40" s="1" t="str">
        <f aca="false">IF(  OR(ISNUMBER(SEARCH("SMOTEENN",A40)),ISNUMBER(SEARCH("SMOTETomek",A40))),  "Hybrid",  IF(   AND(    OR(ISNUMBER(SEARCH("SMOTE",A40)),ISNUMBER(SEARCH("SVMSMOTE",A40)),ISNUMBER(SEARCH("RandomOverSampler",A40)),ISNUMBER(SEARCH("BorderlineSmote",A40))),    OR(ISNUMBER(SEARCH("RandomUnderSampler",A40)),ISNUMBER(SEARCH("ClusterCentroids",A40)),ISNUMBER(SEARCH("OneSidedSelection",A40)))   ),   "Over+Under",   IF(    OR(ISNUMBER(SEARCH("SMOTE",A40)),ISNUMBER(SEARCH("SVMSMOTE",A40)),ISNUMBER(SEARCH("RandomOverSampler",A40)),ISNUMBER(SEARCH("BorderlineSmote",A40))),    "Oversampling",    IF(     OR(ISNUMBER(SEARCH("RandomUnderSampler",A40)),ISNUMBER(SEARCH("ClusterCentroids",A40)),ISNUMBER(SEARCH("OneSidedSelection",A40))),     "Over+Under",     "Czysty"    )   )  ) )</f>
        <v>Oversampling</v>
      </c>
      <c r="C40" s="1" t="s">
        <v>14</v>
      </c>
      <c r="D40" s="1" t="n">
        <v>0.4962</v>
      </c>
      <c r="E40" s="1" t="n">
        <v>0.3711</v>
      </c>
      <c r="F40" s="1" t="n">
        <v>0.3809</v>
      </c>
      <c r="G40" s="1" t="n">
        <v>0.3895</v>
      </c>
      <c r="I40" s="1"/>
      <c r="J40" s="1"/>
      <c r="K40" s="1"/>
      <c r="L40" s="1" t="str">
        <f aca="false">IF(  OR(ISNUMBER(SEARCH("SMOTEENN",A40)),ISNUMBER(SEARCH("SMOTETomek",A40))),  "Hybrid",  IF(   AND(    OR(ISNUMBER(SEARCH("SMOTE",A40)),ISNUMBER(SEARCH("SVMSMOTE",A40)),ISNUMBER(SEARCH("RandomOverSampler",A40)),ISNUMBER(SEARCH("BorderlineSmote",A40))),    OR(ISNUMBER(SEARCH("RandomUnderSampler",A40)),ISNUMBER(SEARCH("ClusterCentroids",A40)),ISNUMBER(SEARCH("OneSidedSelection",A40)))   ),   "Over+Under",   IF(    OR(ISNUMBER(SEARCH("SMOTE",A40)),ISNUMBER(SEARCH("SVMSMOTE",A40)),ISNUMBER(SEARCH("RandomOverSampler",A40)),ISNUMBER(SEARCH("BorderlineSmote",A40))),    "Oversampling",    IF(     OR(ISNUMBER(SEARCH("RandomUnderSampler",A40)),ISNUMBER(SEARCH("ClusterCentroids",A40)),ISNUMBER(SEARCH("OneSidedSelection",A40))),     "Undersampler",     ""    )   )  ) )</f>
        <v>Oversampling</v>
      </c>
      <c r="M40" s="1"/>
      <c r="N40" s="1"/>
    </row>
    <row r="41" customFormat="false" ht="15" hidden="false" customHeight="false" outlineLevel="0" collapsed="false">
      <c r="A41" s="1" t="s">
        <v>84</v>
      </c>
      <c r="B41" s="1" t="str">
        <f aca="false">IF(  OR(ISNUMBER(SEARCH("SMOTEENN",A41)),ISNUMBER(SEARCH("SMOTETomek",A41))),  "Hybrid",  IF(   AND(    OR(ISNUMBER(SEARCH("SMOTE",A41)),ISNUMBER(SEARCH("SVMSMOTE",A41)),ISNUMBER(SEARCH("RandomOverSampler",A41)),ISNUMBER(SEARCH("BorderlineSmote",A41))),    OR(ISNUMBER(SEARCH("RandomUnderSampler",A41)),ISNUMBER(SEARCH("ClusterCentroids",A41)),ISNUMBER(SEARCH("OneSidedSelection",A41)))   ),   "Over+Under",   IF(    OR(ISNUMBER(SEARCH("SMOTE",A41)),ISNUMBER(SEARCH("SVMSMOTE",A41)),ISNUMBER(SEARCH("RandomOverSampler",A41)),ISNUMBER(SEARCH("BorderlineSmote",A41))),    "Oversampling",    IF(     OR(ISNUMBER(SEARCH("RandomUnderSampler",A41)),ISNUMBER(SEARCH("ClusterCentroids",A41)),ISNUMBER(SEARCH("OneSidedSelection",A41))),     "Over+Under",     "Czysty"    )   )  ) )</f>
        <v>Over+Under</v>
      </c>
      <c r="C41" s="1" t="s">
        <v>14</v>
      </c>
      <c r="D41" s="1" t="n">
        <v>0.4713</v>
      </c>
      <c r="E41" s="1" t="n">
        <v>0.3599</v>
      </c>
      <c r="F41" s="1" t="n">
        <v>0.3821</v>
      </c>
      <c r="G41" s="1" t="n">
        <v>0.401</v>
      </c>
      <c r="I41" s="1"/>
      <c r="J41" s="1"/>
      <c r="K41" s="1"/>
      <c r="L41" s="1" t="str">
        <f aca="false">IF(  OR(ISNUMBER(SEARCH("SMOTEENN",A41)),ISNUMBER(SEARCH("SMOTETomek",A41))),  "Hybrid",  IF(   AND(    OR(ISNUMBER(SEARCH("SMOTE",A41)),ISNUMBER(SEARCH("SVMSMOTE",A41)),ISNUMBER(SEARCH("RandomOverSampler",A41)),ISNUMBER(SEARCH("BorderlineSmote",A41))),    OR(ISNUMBER(SEARCH("RandomUnderSampler",A41)),ISNUMBER(SEARCH("ClusterCentroids",A41)),ISNUMBER(SEARCH("OneSidedSelection",A41)))   ),   "Over+Under",   IF(    OR(ISNUMBER(SEARCH("SMOTE",A41)),ISNUMBER(SEARCH("SVMSMOTE",A41)),ISNUMBER(SEARCH("RandomOverSampler",A41)),ISNUMBER(SEARCH("BorderlineSmote",A41))),    "Oversampling",    IF(     OR(ISNUMBER(SEARCH("RandomUnderSampler",A41)),ISNUMBER(SEARCH("ClusterCentroids",A41)),ISNUMBER(SEARCH("OneSidedSelection",A41))),     "Undersampler",     ""    )   )  ) )</f>
        <v>Over+Under</v>
      </c>
      <c r="M41" s="1"/>
      <c r="N41" s="1"/>
    </row>
    <row r="42" customFormat="false" ht="15" hidden="false" customHeight="false" outlineLevel="0" collapsed="false">
      <c r="A42" s="1" t="s">
        <v>88</v>
      </c>
      <c r="B42" s="1" t="str">
        <f aca="false">IF(  OR(ISNUMBER(SEARCH("SMOTEENN",A42)),ISNUMBER(SEARCH("SMOTETomek",A42))),  "Hybrid",  IF(   AND(    OR(ISNUMBER(SEARCH("SMOTE",A42)),ISNUMBER(SEARCH("SVMSMOTE",A42)),ISNUMBER(SEARCH("RandomOverSampler",A42)),ISNUMBER(SEARCH("BorderlineSmote",A42))),    OR(ISNUMBER(SEARCH("RandomUnderSampler",A42)),ISNUMBER(SEARCH("ClusterCentroids",A42)),ISNUMBER(SEARCH("OneSidedSelection",A42)))   ),   "Over+Under",   IF(    OR(ISNUMBER(SEARCH("SMOTE",A42)),ISNUMBER(SEARCH("SVMSMOTE",A42)),ISNUMBER(SEARCH("RandomOverSampler",A42)),ISNUMBER(SEARCH("BorderlineSmote",A42))),    "Oversampling",    IF(     OR(ISNUMBER(SEARCH("RandomUnderSampler",A42)),ISNUMBER(SEARCH("ClusterCentroids",A42)),ISNUMBER(SEARCH("OneSidedSelection",A42))),     "Over+Under",     "Czysty"    )   )  ) )</f>
        <v>Over+Under</v>
      </c>
      <c r="C42" s="1" t="s">
        <v>14</v>
      </c>
      <c r="D42" s="1" t="n">
        <v>0.4551</v>
      </c>
      <c r="E42" s="1" t="n">
        <v>0.3596</v>
      </c>
      <c r="F42" s="1" t="n">
        <v>0.3758</v>
      </c>
      <c r="G42" s="1" t="n">
        <v>0.3807</v>
      </c>
      <c r="I42" s="1"/>
      <c r="J42" s="1"/>
      <c r="K42" s="1"/>
      <c r="L42" s="1" t="str">
        <f aca="false">IF(  OR(ISNUMBER(SEARCH("SMOTEENN",A42)),ISNUMBER(SEARCH("SMOTETomek",A42))),  "Hybrid",  IF(   AND(    OR(ISNUMBER(SEARCH("SMOTE",A42)),ISNUMBER(SEARCH("SVMSMOTE",A42)),ISNUMBER(SEARCH("RandomOverSampler",A42)),ISNUMBER(SEARCH("BorderlineSmote",A42))),    OR(ISNUMBER(SEARCH("RandomUnderSampler",A42)),ISNUMBER(SEARCH("ClusterCentroids",A42)),ISNUMBER(SEARCH("OneSidedSelection",A42)))   ),   "Over+Under",   IF(    OR(ISNUMBER(SEARCH("SMOTE",A42)),ISNUMBER(SEARCH("SVMSMOTE",A42)),ISNUMBER(SEARCH("RandomOverSampler",A42)),ISNUMBER(SEARCH("BorderlineSmote",A42))),    "Oversampling",    IF(     OR(ISNUMBER(SEARCH("RandomUnderSampler",A42)),ISNUMBER(SEARCH("ClusterCentroids",A42)),ISNUMBER(SEARCH("OneSidedSelection",A42))),     "Undersampler",     ""    )   )  ) )</f>
        <v>Over+Under</v>
      </c>
      <c r="M42" s="1"/>
      <c r="N42" s="1"/>
    </row>
    <row r="43" customFormat="false" ht="15" hidden="false" customHeight="false" outlineLevel="0" collapsed="false">
      <c r="A43" s="1" t="s">
        <v>17</v>
      </c>
      <c r="B43" s="1" t="str">
        <f aca="false">IF(  OR(ISNUMBER(SEARCH("SMOTEENN",A43)),ISNUMBER(SEARCH("SMOTETomek",A43))),  "Hybrid",  IF(   AND(    OR(ISNUMBER(SEARCH("SMOTE",A43)),ISNUMBER(SEARCH("SVMSMOTE",A43)),ISNUMBER(SEARCH("RandomOverSampler",A43)),ISNUMBER(SEARCH("BorderlineSmote",A43))),    OR(ISNUMBER(SEARCH("RandomUnderSampler",A43)),ISNUMBER(SEARCH("ClusterCentroids",A43)),ISNUMBER(SEARCH("OneSidedSelection",A43)))   ),   "Over+Under",   IF(    OR(ISNUMBER(SEARCH("SMOTE",A43)),ISNUMBER(SEARCH("SVMSMOTE",A43)),ISNUMBER(SEARCH("RandomOverSampler",A43)),ISNUMBER(SEARCH("BorderlineSmote",A43))),    "Oversampling",    IF(     OR(ISNUMBER(SEARCH("RandomUnderSampler",A43)),ISNUMBER(SEARCH("ClusterCentroids",A43)),ISNUMBER(SEARCH("OneSidedSelection",A43))),     "Over+Under",     "Czysty"    )   )  ) )</f>
        <v>Czysty</v>
      </c>
      <c r="C43" s="1" t="s">
        <v>14</v>
      </c>
      <c r="D43" s="1" t="n">
        <v>0.4889</v>
      </c>
      <c r="E43" s="1" t="n">
        <v>0.3565</v>
      </c>
      <c r="F43" s="1" t="n">
        <v>0.4014</v>
      </c>
      <c r="G43" s="1" t="n">
        <v>0.3597</v>
      </c>
      <c r="I43" s="1"/>
      <c r="J43" s="1"/>
      <c r="K43" s="1"/>
      <c r="L43" s="1" t="str">
        <f aca="false">IF(  OR(ISNUMBER(SEARCH("SMOTEENN",A43)),ISNUMBER(SEARCH("SMOTETomek",A43))),  "Hybrid",  IF(   AND(    OR(ISNUMBER(SEARCH("SMOTE",A43)),ISNUMBER(SEARCH("SVMSMOTE",A43)),ISNUMBER(SEARCH("RandomOverSampler",A43)),ISNUMBER(SEARCH("BorderlineSmote",A43))),    OR(ISNUMBER(SEARCH("RandomUnderSampler",A43)),ISNUMBER(SEARCH("ClusterCentroids",A43)),ISNUMBER(SEARCH("OneSidedSelection",A43)))   ),   "Over+Under",   IF(    OR(ISNUMBER(SEARCH("SMOTE",A43)),ISNUMBER(SEARCH("SVMSMOTE",A43)),ISNUMBER(SEARCH("RandomOverSampler",A43)),ISNUMBER(SEARCH("BorderlineSmote",A43))),    "Oversampling",    IF(     OR(ISNUMBER(SEARCH("RandomUnderSampler",A43)),ISNUMBER(SEARCH("ClusterCentroids",A43)),ISNUMBER(SEARCH("OneSidedSelection",A43))),     "Undersampler",     ""    )   )  ) )</f>
        <v/>
      </c>
      <c r="M43" s="1"/>
      <c r="N43" s="1"/>
    </row>
    <row r="44" customFormat="false" ht="15" hidden="false" customHeight="false" outlineLevel="0" collapsed="false">
      <c r="A44" s="1" t="s">
        <v>124</v>
      </c>
      <c r="B44" s="1" t="str">
        <f aca="false">IF(  OR(ISNUMBER(SEARCH("SMOTEENN",A44)),ISNUMBER(SEARCH("SMOTETomek",A44))),  "Hybrid",  IF(   AND(    OR(ISNUMBER(SEARCH("SMOTE",A44)),ISNUMBER(SEARCH("SVMSMOTE",A44)),ISNUMBER(SEARCH("RandomOverSampler",A44)),ISNUMBER(SEARCH("BorderlineSmote",A44))),    OR(ISNUMBER(SEARCH("RandomUnderSampler",A44)),ISNUMBER(SEARCH("ClusterCentroids",A44)),ISNUMBER(SEARCH("OneSidedSelection",A44)))   ),   "Over+Under",   IF(    OR(ISNUMBER(SEARCH("SMOTE",A44)),ISNUMBER(SEARCH("SVMSMOTE",A44)),ISNUMBER(SEARCH("RandomOverSampler",A44)),ISNUMBER(SEARCH("BorderlineSmote",A44))),    "Oversampling",    IF(     OR(ISNUMBER(SEARCH("RandomUnderSampler",A44)),ISNUMBER(SEARCH("ClusterCentroids",A44)),ISNUMBER(SEARCH("OneSidedSelection",A44))),     "Over+Under",     "Czysty"    )   )  ) )</f>
        <v>Over+Under</v>
      </c>
      <c r="C44" s="1" t="s">
        <v>14</v>
      </c>
      <c r="D44" s="1" t="n">
        <v>0.3496</v>
      </c>
      <c r="E44" s="1" t="n">
        <v>0.3358</v>
      </c>
      <c r="F44" s="1" t="n">
        <v>0.3418</v>
      </c>
      <c r="G44" s="1" t="n">
        <v>0.3777</v>
      </c>
      <c r="I44" s="1"/>
      <c r="J44" s="1"/>
      <c r="K44" s="1"/>
      <c r="L44" s="1" t="str">
        <f aca="false">IF(  OR(ISNUMBER(SEARCH("SMOTEENN",A44)),ISNUMBER(SEARCH("SMOTETomek",A44))),  "Hybrid",  IF(   AND(    OR(ISNUMBER(SEARCH("SMOTE",A44)),ISNUMBER(SEARCH("SVMSMOTE",A44)),ISNUMBER(SEARCH("RandomOverSampler",A44)),ISNUMBER(SEARCH("BorderlineSmote",A44))),    OR(ISNUMBER(SEARCH("RandomUnderSampler",A44)),ISNUMBER(SEARCH("ClusterCentroids",A44)),ISNUMBER(SEARCH("OneSidedSelection",A44)))   ),   "Over+Under",   IF(    OR(ISNUMBER(SEARCH("SMOTE",A44)),ISNUMBER(SEARCH("SVMSMOTE",A44)),ISNUMBER(SEARCH("RandomOverSampler",A44)),ISNUMBER(SEARCH("BorderlineSmote",A44))),    "Oversampling",    IF(     OR(ISNUMBER(SEARCH("RandomUnderSampler",A44)),ISNUMBER(SEARCH("ClusterCentroids",A44)),ISNUMBER(SEARCH("OneSidedSelection",A44))),     "Undersampler",     ""    )   )  ) )</f>
        <v>Over+Under</v>
      </c>
      <c r="M44" s="1"/>
      <c r="N44" s="1"/>
    </row>
    <row r="45" customFormat="false" ht="15" hidden="false" customHeight="false" outlineLevel="0" collapsed="false">
      <c r="A45" s="1" t="s">
        <v>125</v>
      </c>
      <c r="B45" s="1" t="str">
        <f aca="false">IF(  OR(ISNUMBER(SEARCH("SMOTEENN",A45)),ISNUMBER(SEARCH("SMOTETomek",A45))),  "Hybrid",  IF(   AND(    OR(ISNUMBER(SEARCH("SMOTE",A45)),ISNUMBER(SEARCH("SVMSMOTE",A45)),ISNUMBER(SEARCH("RandomOverSampler",A45)),ISNUMBER(SEARCH("BorderlineSmote",A45))),    OR(ISNUMBER(SEARCH("RandomUnderSampler",A45)),ISNUMBER(SEARCH("ClusterCentroids",A45)),ISNUMBER(SEARCH("OneSidedSelection",A45)))   ),   "Over+Under",   IF(    OR(ISNUMBER(SEARCH("SMOTE",A45)),ISNUMBER(SEARCH("SVMSMOTE",A45)),ISNUMBER(SEARCH("RandomOverSampler",A45)),ISNUMBER(SEARCH("BorderlineSmote",A45))),    "Oversampling",    IF(     OR(ISNUMBER(SEARCH("RandomUnderSampler",A45)),ISNUMBER(SEARCH("ClusterCentroids",A45)),ISNUMBER(SEARCH("OneSidedSelection",A45))),     "Over+Under",     "Czysty"    )   )  ) )</f>
        <v>Over+Under</v>
      </c>
      <c r="C45" s="1" t="s">
        <v>14</v>
      </c>
      <c r="D45" s="1" t="n">
        <v>0.3569</v>
      </c>
      <c r="E45" s="1" t="n">
        <v>0.3276</v>
      </c>
      <c r="F45" s="1" t="n">
        <v>0.3288</v>
      </c>
      <c r="G45" s="1" t="n">
        <v>0.3871</v>
      </c>
      <c r="I45" s="1"/>
      <c r="J45" s="1"/>
      <c r="K45" s="1"/>
      <c r="L45" s="1" t="str">
        <f aca="false">IF(  OR(ISNUMBER(SEARCH("SMOTEENN",A45)),ISNUMBER(SEARCH("SMOTETomek",A45))),  "Hybrid",  IF(   AND(    OR(ISNUMBER(SEARCH("SMOTE",A45)),ISNUMBER(SEARCH("SVMSMOTE",A45)),ISNUMBER(SEARCH("RandomOverSampler",A45)),ISNUMBER(SEARCH("BorderlineSmote",A45))),    OR(ISNUMBER(SEARCH("RandomUnderSampler",A45)),ISNUMBER(SEARCH("ClusterCentroids",A45)),ISNUMBER(SEARCH("OneSidedSelection",A45)))   ),   "Over+Under",   IF(    OR(ISNUMBER(SEARCH("SMOTE",A45)),ISNUMBER(SEARCH("SVMSMOTE",A45)),ISNUMBER(SEARCH("RandomOverSampler",A45)),ISNUMBER(SEARCH("BorderlineSmote",A45))),    "Oversampling",    IF(     OR(ISNUMBER(SEARCH("RandomUnderSampler",A45)),ISNUMBER(SEARCH("ClusterCentroids",A45)),ISNUMBER(SEARCH("OneSidedSelection",A45))),     "Undersampler",     ""    )   )  ) )</f>
        <v>Over+Under</v>
      </c>
      <c r="M45" s="1"/>
      <c r="N45" s="1"/>
    </row>
    <row r="46" customFormat="false" ht="15" hidden="false" customHeight="false" outlineLevel="0" collapsed="false">
      <c r="A46" s="1" t="s">
        <v>82</v>
      </c>
      <c r="B46" s="1" t="str">
        <f aca="false">IF(  OR(ISNUMBER(SEARCH("SMOTEENN",A46)),ISNUMBER(SEARCH("SMOTETomek",A46))),  "Hybrid",  IF(   AND(    OR(ISNUMBER(SEARCH("SMOTE",A46)),ISNUMBER(SEARCH("SVMSMOTE",A46)),ISNUMBER(SEARCH("RandomOverSampler",A46)),ISNUMBER(SEARCH("BorderlineSmote",A46))),    OR(ISNUMBER(SEARCH("RandomUnderSampler",A46)),ISNUMBER(SEARCH("ClusterCentroids",A46)),ISNUMBER(SEARCH("OneSidedSelection",A46)))   ),   "Over+Under",   IF(    OR(ISNUMBER(SEARCH("SMOTE",A46)),ISNUMBER(SEARCH("SVMSMOTE",A46)),ISNUMBER(SEARCH("RandomOverSampler",A46)),ISNUMBER(SEARCH("BorderlineSmote",A46))),    "Oversampling",    IF(     OR(ISNUMBER(SEARCH("RandomUnderSampler",A46)),ISNUMBER(SEARCH("ClusterCentroids",A46)),ISNUMBER(SEARCH("OneSidedSelection",A46))),     "Over+Under",     "Czysty"    )   )  ) )</f>
        <v>Over+Under</v>
      </c>
      <c r="C46" s="1" t="s">
        <v>14</v>
      </c>
      <c r="D46" s="1" t="n">
        <v>0.3422</v>
      </c>
      <c r="E46" s="1" t="n">
        <v>0.3237</v>
      </c>
      <c r="F46" s="1" t="n">
        <v>0.3316</v>
      </c>
      <c r="G46" s="1" t="n">
        <v>0.378</v>
      </c>
      <c r="I46" s="1"/>
      <c r="J46" s="1"/>
      <c r="K46" s="1"/>
      <c r="L46" s="1" t="str">
        <f aca="false">IF(  OR(ISNUMBER(SEARCH("SMOTEENN",A46)),ISNUMBER(SEARCH("SMOTETomek",A46))),  "Hybrid",  IF(   AND(    OR(ISNUMBER(SEARCH("SMOTE",A46)),ISNUMBER(SEARCH("SVMSMOTE",A46)),ISNUMBER(SEARCH("RandomOverSampler",A46)),ISNUMBER(SEARCH("BorderlineSmote",A46))),    OR(ISNUMBER(SEARCH("RandomUnderSampler",A46)),ISNUMBER(SEARCH("ClusterCentroids",A46)),ISNUMBER(SEARCH("OneSidedSelection",A46)))   ),   "Over+Under",   IF(    OR(ISNUMBER(SEARCH("SMOTE",A46)),ISNUMBER(SEARCH("SVMSMOTE",A46)),ISNUMBER(SEARCH("RandomOverSampler",A46)),ISNUMBER(SEARCH("BorderlineSmote",A46))),    "Oversampling",    IF(     OR(ISNUMBER(SEARCH("RandomUnderSampler",A46)),ISNUMBER(SEARCH("ClusterCentroids",A46)),ISNUMBER(SEARCH("OneSidedSelection",A46))),     "Undersampler",     ""    )   )  ) )</f>
        <v>Over+Under</v>
      </c>
      <c r="M46" s="1"/>
      <c r="N46" s="1"/>
    </row>
    <row r="47" customFormat="false" ht="15" hidden="false" customHeight="false" outlineLevel="0" collapsed="false">
      <c r="A47" s="1" t="s">
        <v>83</v>
      </c>
      <c r="B47" s="1" t="str">
        <f aca="false">IF(  OR(ISNUMBER(SEARCH("SMOTEENN",A47)),ISNUMBER(SEARCH("SMOTETomek",A47))),  "Hybrid",  IF(   AND(    OR(ISNUMBER(SEARCH("SMOTE",A47)),ISNUMBER(SEARCH("SVMSMOTE",A47)),ISNUMBER(SEARCH("RandomOverSampler",A47)),ISNUMBER(SEARCH("BorderlineSmote",A47))),    OR(ISNUMBER(SEARCH("RandomUnderSampler",A47)),ISNUMBER(SEARCH("ClusterCentroids",A47)),ISNUMBER(SEARCH("OneSidedSelection",A47)))   ),   "Over+Under",   IF(    OR(ISNUMBER(SEARCH("SMOTE",A47)),ISNUMBER(SEARCH("SVMSMOTE",A47)),ISNUMBER(SEARCH("RandomOverSampler",A47)),ISNUMBER(SEARCH("BorderlineSmote",A47))),    "Oversampling",    IF(     OR(ISNUMBER(SEARCH("RandomUnderSampler",A47)),ISNUMBER(SEARCH("ClusterCentroids",A47)),ISNUMBER(SEARCH("OneSidedSelection",A47))),     "Over+Under",     "Czysty"    )   )  ) )</f>
        <v>Over+Under</v>
      </c>
      <c r="C47" s="1" t="s">
        <v>14</v>
      </c>
      <c r="D47" s="1" t="n">
        <v>0.3362</v>
      </c>
      <c r="E47" s="1" t="n">
        <v>0.3156</v>
      </c>
      <c r="F47" s="1" t="n">
        <v>0.3119</v>
      </c>
      <c r="G47" s="1" t="n">
        <v>0.3663</v>
      </c>
      <c r="I47" s="1"/>
      <c r="J47" s="1"/>
      <c r="K47" s="1"/>
      <c r="L47" s="1" t="str">
        <f aca="false">IF(  OR(ISNUMBER(SEARCH("SMOTEENN",A47)),ISNUMBER(SEARCH("SMOTETomek",A47))),  "Hybrid",  IF(   AND(    OR(ISNUMBER(SEARCH("SMOTE",A47)),ISNUMBER(SEARCH("SVMSMOTE",A47)),ISNUMBER(SEARCH("RandomOverSampler",A47)),ISNUMBER(SEARCH("BorderlineSmote",A47))),    OR(ISNUMBER(SEARCH("RandomUnderSampler",A47)),ISNUMBER(SEARCH("ClusterCentroids",A47)),ISNUMBER(SEARCH("OneSidedSelection",A47)))   ),   "Over+Under",   IF(    OR(ISNUMBER(SEARCH("SMOTE",A47)),ISNUMBER(SEARCH("SVMSMOTE",A47)),ISNUMBER(SEARCH("RandomOverSampler",A47)),ISNUMBER(SEARCH("BorderlineSmote",A47))),    "Oversampling",    IF(     OR(ISNUMBER(SEARCH("RandomUnderSampler",A47)),ISNUMBER(SEARCH("ClusterCentroids",A47)),ISNUMBER(SEARCH("OneSidedSelection",A47))),     "Undersampler",     ""    )   )  ) )</f>
        <v>Over+Under</v>
      </c>
      <c r="M47" s="1"/>
      <c r="N47" s="1"/>
    </row>
    <row r="48" customFormat="false" ht="15" hidden="false" customHeight="false" outlineLevel="0" collapsed="false">
      <c r="A48" s="1" t="s">
        <v>85</v>
      </c>
      <c r="B48" s="1" t="str">
        <f aca="false">IF(  OR(ISNUMBER(SEARCH("SMOTEENN",A48)),ISNUMBER(SEARCH("SMOTETomek",A48))),  "Hybrid",  IF(   AND(    OR(ISNUMBER(SEARCH("SMOTE",A48)),ISNUMBER(SEARCH("SVMSMOTE",A48)),ISNUMBER(SEARCH("RandomOverSampler",A48)),ISNUMBER(SEARCH("BorderlineSmote",A48))),    OR(ISNUMBER(SEARCH("RandomUnderSampler",A48)),ISNUMBER(SEARCH("ClusterCentroids",A48)),ISNUMBER(SEARCH("OneSidedSelection",A48)))   ),   "Over+Under",   IF(    OR(ISNUMBER(SEARCH("SMOTE",A48)),ISNUMBER(SEARCH("SVMSMOTE",A48)),ISNUMBER(SEARCH("RandomOverSampler",A48)),ISNUMBER(SEARCH("BorderlineSmote",A48))),    "Oversampling",    IF(     OR(ISNUMBER(SEARCH("RandomUnderSampler",A48)),ISNUMBER(SEARCH("ClusterCentroids",A48)),ISNUMBER(SEARCH("OneSidedSelection",A48))),     "Over+Under",     "Czysty"    )   )  ) )</f>
        <v>Over+Under</v>
      </c>
      <c r="C48" s="1" t="s">
        <v>14</v>
      </c>
      <c r="D48" s="1" t="n">
        <v>0.3186</v>
      </c>
      <c r="E48" s="1" t="n">
        <v>0.298</v>
      </c>
      <c r="F48" s="1" t="n">
        <v>0.304</v>
      </c>
      <c r="G48" s="1" t="n">
        <v>0.3458</v>
      </c>
      <c r="I48" s="1"/>
      <c r="J48" s="1"/>
      <c r="K48" s="1"/>
      <c r="L48" s="1" t="str">
        <f aca="false">IF(  OR(ISNUMBER(SEARCH("SMOTEENN",A48)),ISNUMBER(SEARCH("SMOTETomek",A48))),  "Hybrid",  IF(   AND(    OR(ISNUMBER(SEARCH("SMOTE",A48)),ISNUMBER(SEARCH("SVMSMOTE",A48)),ISNUMBER(SEARCH("RandomOverSampler",A48)),ISNUMBER(SEARCH("BorderlineSmote",A48))),    OR(ISNUMBER(SEARCH("RandomUnderSampler",A48)),ISNUMBER(SEARCH("ClusterCentroids",A48)),ISNUMBER(SEARCH("OneSidedSelection",A48)))   ),   "Over+Under",   IF(    OR(ISNUMBER(SEARCH("SMOTE",A48)),ISNUMBER(SEARCH("SVMSMOTE",A48)),ISNUMBER(SEARCH("RandomOverSampler",A48)),ISNUMBER(SEARCH("BorderlineSmote",A48))),    "Oversampling",    IF(     OR(ISNUMBER(SEARCH("RandomUnderSampler",A48)),ISNUMBER(SEARCH("ClusterCentroids",A48)),ISNUMBER(SEARCH("OneSidedSelection",A48))),     "Undersampler",     ""    )   )  ) )</f>
        <v>Over+Under</v>
      </c>
      <c r="M48" s="1"/>
      <c r="N48" s="1"/>
    </row>
    <row r="49" customFormat="false" ht="15" hidden="false" customHeight="false" outlineLevel="0" collapsed="false">
      <c r="A49" s="1" t="s">
        <v>86</v>
      </c>
      <c r="B49" s="1" t="str">
        <f aca="false">IF(  OR(ISNUMBER(SEARCH("SMOTEENN",A49)),ISNUMBER(SEARCH("SMOTETomek",A49))),  "Hybrid",  IF(   AND(    OR(ISNUMBER(SEARCH("SMOTE",A49)),ISNUMBER(SEARCH("SVMSMOTE",A49)),ISNUMBER(SEARCH("RandomOverSampler",A49)),ISNUMBER(SEARCH("BorderlineSmote",A49))),    OR(ISNUMBER(SEARCH("RandomUnderSampler",A49)),ISNUMBER(SEARCH("ClusterCentroids",A49)),ISNUMBER(SEARCH("OneSidedSelection",A49)))   ),   "Over+Under",   IF(    OR(ISNUMBER(SEARCH("SMOTE",A49)),ISNUMBER(SEARCH("SVMSMOTE",A49)),ISNUMBER(SEARCH("RandomOverSampler",A49)),ISNUMBER(SEARCH("BorderlineSmote",A49))),    "Oversampling",    IF(     OR(ISNUMBER(SEARCH("RandomUnderSampler",A49)),ISNUMBER(SEARCH("ClusterCentroids",A49)),ISNUMBER(SEARCH("OneSidedSelection",A49))),     "Over+Under",     "Czysty"    )   )  ) )</f>
        <v>Over+Under</v>
      </c>
      <c r="C49" s="1" t="s">
        <v>14</v>
      </c>
      <c r="D49" s="1" t="n">
        <v>0.3024</v>
      </c>
      <c r="E49" s="1" t="n">
        <v>0.2907</v>
      </c>
      <c r="F49" s="1" t="n">
        <v>0.2978</v>
      </c>
      <c r="G49" s="1" t="n">
        <v>0.3637</v>
      </c>
      <c r="I49" s="1"/>
      <c r="J49" s="1"/>
      <c r="K49" s="1"/>
      <c r="L49" s="1" t="str">
        <f aca="false">IF(  OR(ISNUMBER(SEARCH("SMOTEENN",A49)),ISNUMBER(SEARCH("SMOTETomek",A49))),  "Hybrid",  IF(   AND(    OR(ISNUMBER(SEARCH("SMOTE",A49)),ISNUMBER(SEARCH("SVMSMOTE",A49)),ISNUMBER(SEARCH("RandomOverSampler",A49)),ISNUMBER(SEARCH("BorderlineSmote",A49))),    OR(ISNUMBER(SEARCH("RandomUnderSampler",A49)),ISNUMBER(SEARCH("ClusterCentroids",A49)),ISNUMBER(SEARCH("OneSidedSelection",A49)))   ),   "Over+Under",   IF(    OR(ISNUMBER(SEARCH("SMOTE",A49)),ISNUMBER(SEARCH("SVMSMOTE",A49)),ISNUMBER(SEARCH("RandomOverSampler",A49)),ISNUMBER(SEARCH("BorderlineSmote",A49))),    "Oversampling",    IF(     OR(ISNUMBER(SEARCH("RandomUnderSampler",A49)),ISNUMBER(SEARCH("ClusterCentroids",A49)),ISNUMBER(SEARCH("OneSidedSelection",A49))),     "Undersampler",     ""    )   )  ) )</f>
        <v>Over+Under</v>
      </c>
      <c r="M49" s="1"/>
      <c r="N49" s="1"/>
    </row>
    <row r="50" customFormat="false" ht="15" hidden="false" customHeight="false" outlineLevel="0" collapsed="false">
      <c r="A50" s="1" t="s">
        <v>87</v>
      </c>
      <c r="B50" s="1" t="str">
        <f aca="false">IF(  OR(ISNUMBER(SEARCH("SMOTEENN",A50)),ISNUMBER(SEARCH("SMOTETomek",A50))),  "Hybrid",  IF(   AND(    OR(ISNUMBER(SEARCH("SMOTE",A50)),ISNUMBER(SEARCH("SVMSMOTE",A50)),ISNUMBER(SEARCH("RandomOverSampler",A50)),ISNUMBER(SEARCH("BorderlineSmote",A50))),    OR(ISNUMBER(SEARCH("RandomUnderSampler",A50)),ISNUMBER(SEARCH("ClusterCentroids",A50)),ISNUMBER(SEARCH("OneSidedSelection",A50)))   ),   "Over+Under",   IF(    OR(ISNUMBER(SEARCH("SMOTE",A50)),ISNUMBER(SEARCH("SVMSMOTE",A50)),ISNUMBER(SEARCH("RandomOverSampler",A50)),ISNUMBER(SEARCH("BorderlineSmote",A50))),    "Oversampling",    IF(     OR(ISNUMBER(SEARCH("RandomUnderSampler",A50)),ISNUMBER(SEARCH("ClusterCentroids",A50)),ISNUMBER(SEARCH("OneSidedSelection",A50))),     "Over+Under",     "Czysty"    )   )  ) )</f>
        <v>Hybrid</v>
      </c>
      <c r="C50" s="1" t="s">
        <v>14</v>
      </c>
      <c r="D50" s="1" t="n">
        <v>0.2423</v>
      </c>
      <c r="E50" s="1" t="n">
        <v>0.2791</v>
      </c>
      <c r="F50" s="1" t="n">
        <v>0.3521</v>
      </c>
      <c r="G50" s="1" t="n">
        <v>0.3852</v>
      </c>
      <c r="I50" s="1"/>
      <c r="J50" s="1"/>
      <c r="K50" s="1"/>
      <c r="L50" s="1" t="str">
        <f aca="false">IF(  OR(ISNUMBER(SEARCH("SMOTEENN",A50)),ISNUMBER(SEARCH("SMOTETomek",A50))),  "Hybrid",  IF(   AND(    OR(ISNUMBER(SEARCH("SMOTE",A50)),ISNUMBER(SEARCH("SVMSMOTE",A50)),ISNUMBER(SEARCH("RandomOverSampler",A50)),ISNUMBER(SEARCH("BorderlineSmote",A50))),    OR(ISNUMBER(SEARCH("RandomUnderSampler",A50)),ISNUMBER(SEARCH("ClusterCentroids",A50)),ISNUMBER(SEARCH("OneSidedSelection",A50)))   ),   "Over+Under",   IF(    OR(ISNUMBER(SEARCH("SMOTE",A50)),ISNUMBER(SEARCH("SVMSMOTE",A50)),ISNUMBER(SEARCH("RandomOverSampler",A50)),ISNUMBER(SEARCH("BorderlineSmote",A50))),    "Oversampling",    IF(     OR(ISNUMBER(SEARCH("RandomUnderSampler",A50)),ISNUMBER(SEARCH("ClusterCentroids",A50)),ISNUMBER(SEARCH("OneSidedSelection",A50))),     "Undersampler",     ""    )   )  ) )</f>
        <v>Hybrid</v>
      </c>
      <c r="M50" s="1"/>
      <c r="N50" s="1"/>
    </row>
    <row r="51" customFormat="false" ht="15" hidden="false" customHeight="false" outlineLevel="0" collapsed="false">
      <c r="A51" s="1" t="s">
        <v>79</v>
      </c>
      <c r="B51" s="1" t="str">
        <f aca="false">IF(  OR(ISNUMBER(SEARCH("SMOTEENN",A51)),ISNUMBER(SEARCH("SMOTETomek",A51))),  "Hybrid",  IF(   AND(    OR(ISNUMBER(SEARCH("SMOTE",A51)),ISNUMBER(SEARCH("SVMSMOTE",A51)),ISNUMBER(SEARCH("RandomOverSampler",A51)),ISNUMBER(SEARCH("BorderlineSmote",A51))),    OR(ISNUMBER(SEARCH("RandomUnderSampler",A51)),ISNUMBER(SEARCH("ClusterCentroids",A51)),ISNUMBER(SEARCH("OneSidedSelection",A51)))   ),   "Over+Under",   IF(    OR(ISNUMBER(SEARCH("SMOTE",A51)),ISNUMBER(SEARCH("SVMSMOTE",A51)),ISNUMBER(SEARCH("RandomOverSampler",A51)),ISNUMBER(SEARCH("BorderlineSmote",A51))),    "Oversampling",    IF(     OR(ISNUMBER(SEARCH("RandomUnderSampler",A51)),ISNUMBER(SEARCH("ClusterCentroids",A51)),ISNUMBER(SEARCH("OneSidedSelection",A51))),     "Over+Under",     "Czysty"    )   )  ) )</f>
        <v>Oversampling</v>
      </c>
      <c r="C51" s="1" t="s">
        <v>74</v>
      </c>
      <c r="D51" s="1" t="n">
        <v>0.5212</v>
      </c>
      <c r="E51" s="1" t="n">
        <v>0.432</v>
      </c>
      <c r="F51" s="1" t="n">
        <v>0.4394</v>
      </c>
      <c r="G51" s="1" t="n">
        <v>0.449</v>
      </c>
      <c r="I51" s="1"/>
      <c r="J51" s="1"/>
      <c r="K51" s="1"/>
      <c r="L51" s="1" t="str">
        <f aca="false">IF(  OR(ISNUMBER(SEARCH("SMOTEENN",A51)),ISNUMBER(SEARCH("SMOTETomek",A51))),  "Hybrid",  IF(   AND(    OR(ISNUMBER(SEARCH("SMOTE",A51)),ISNUMBER(SEARCH("SVMSMOTE",A51)),ISNUMBER(SEARCH("RandomOverSampler",A51)),ISNUMBER(SEARCH("BorderlineSmote",A51))),    OR(ISNUMBER(SEARCH("RandomUnderSampler",A51)),ISNUMBER(SEARCH("ClusterCentroids",A51)),ISNUMBER(SEARCH("OneSidedSelection",A51)))   ),   "Over+Under",   IF(    OR(ISNUMBER(SEARCH("SMOTE",A51)),ISNUMBER(SEARCH("SVMSMOTE",A51)),ISNUMBER(SEARCH("RandomOverSampler",A51)),ISNUMBER(SEARCH("BorderlineSmote",A51))),    "Oversampling",    IF(     OR(ISNUMBER(SEARCH("RandomUnderSampler",A51)),ISNUMBER(SEARCH("ClusterCentroids",A51)),ISNUMBER(SEARCH("OneSidedSelection",A51))),     "Undersampler",     ""    )   )  ) )</f>
        <v>Oversampling</v>
      </c>
      <c r="M51" s="1"/>
      <c r="N51" s="1"/>
    </row>
    <row r="52" customFormat="false" ht="15" hidden="false" customHeight="false" outlineLevel="0" collapsed="false">
      <c r="A52" s="1" t="s">
        <v>81</v>
      </c>
      <c r="B52" s="1" t="str">
        <f aca="false">IF(  OR(ISNUMBER(SEARCH("SMOTEENN",A52)),ISNUMBER(SEARCH("SMOTETomek",A52))),  "Hybrid",  IF(   AND(    OR(ISNUMBER(SEARCH("SMOTE",A52)),ISNUMBER(SEARCH("SVMSMOTE",A52)),ISNUMBER(SEARCH("RandomOverSampler",A52)),ISNUMBER(SEARCH("BorderlineSmote",A52))),    OR(ISNUMBER(SEARCH("RandomUnderSampler",A52)),ISNUMBER(SEARCH("ClusterCentroids",A52)),ISNUMBER(SEARCH("OneSidedSelection",A52)))   ),   "Over+Under",   IF(    OR(ISNUMBER(SEARCH("SMOTE",A52)),ISNUMBER(SEARCH("SVMSMOTE",A52)),ISNUMBER(SEARCH("RandomOverSampler",A52)),ISNUMBER(SEARCH("BorderlineSmote",A52))),    "Oversampling",    IF(     OR(ISNUMBER(SEARCH("RandomUnderSampler",A52)),ISNUMBER(SEARCH("ClusterCentroids",A52)),ISNUMBER(SEARCH("OneSidedSelection",A52))),     "Over+Under",     "Czysty"    )   )  ) )</f>
        <v>Oversampling</v>
      </c>
      <c r="C52" s="1" t="s">
        <v>74</v>
      </c>
      <c r="D52" s="1" t="n">
        <v>0.4963</v>
      </c>
      <c r="E52" s="1" t="n">
        <v>0.4159</v>
      </c>
      <c r="F52" s="1" t="n">
        <v>0.4214</v>
      </c>
      <c r="G52" s="1" t="n">
        <v>0.4201</v>
      </c>
      <c r="I52" s="1"/>
      <c r="J52" s="1"/>
      <c r="K52" s="1"/>
      <c r="L52" s="1" t="str">
        <f aca="false">IF(  OR(ISNUMBER(SEARCH("SMOTEENN",A52)),ISNUMBER(SEARCH("SMOTETomek",A52))),  "Hybrid",  IF(   AND(    OR(ISNUMBER(SEARCH("SMOTE",A52)),ISNUMBER(SEARCH("SVMSMOTE",A52)),ISNUMBER(SEARCH("RandomOverSampler",A52)),ISNUMBER(SEARCH("BorderlineSmote",A52))),    OR(ISNUMBER(SEARCH("RandomUnderSampler",A52)),ISNUMBER(SEARCH("ClusterCentroids",A52)),ISNUMBER(SEARCH("OneSidedSelection",A52)))   ),   "Over+Under",   IF(    OR(ISNUMBER(SEARCH("SMOTE",A52)),ISNUMBER(SEARCH("SVMSMOTE",A52)),ISNUMBER(SEARCH("RandomOverSampler",A52)),ISNUMBER(SEARCH("BorderlineSmote",A52))),    "Oversampling",    IF(     OR(ISNUMBER(SEARCH("RandomUnderSampler",A52)),ISNUMBER(SEARCH("ClusterCentroids",A52)),ISNUMBER(SEARCH("OneSidedSelection",A52))),     "Undersampler",     ""    )   )  ) )</f>
        <v>Oversampling</v>
      </c>
      <c r="M52" s="1"/>
      <c r="N52" s="1"/>
    </row>
    <row r="53" customFormat="false" ht="15" hidden="false" customHeight="false" outlineLevel="0" collapsed="false">
      <c r="A53" s="1" t="s">
        <v>80</v>
      </c>
      <c r="B53" s="1" t="str">
        <f aca="false">IF(  OR(ISNUMBER(SEARCH("SMOTEENN",A53)),ISNUMBER(SEARCH("SMOTETomek",A53))),  "Hybrid",  IF(   AND(    OR(ISNUMBER(SEARCH("SMOTE",A53)),ISNUMBER(SEARCH("SVMSMOTE",A53)),ISNUMBER(SEARCH("RandomOverSampler",A53)),ISNUMBER(SEARCH("BorderlineSmote",A53))),    OR(ISNUMBER(SEARCH("RandomUnderSampler",A53)),ISNUMBER(SEARCH("ClusterCentroids",A53)),ISNUMBER(SEARCH("OneSidedSelection",A53)))   ),   "Over+Under",   IF(    OR(ISNUMBER(SEARCH("SMOTE",A53)),ISNUMBER(SEARCH("SVMSMOTE",A53)),ISNUMBER(SEARCH("RandomOverSampler",A53)),ISNUMBER(SEARCH("BorderlineSmote",A53))),    "Oversampling",    IF(     OR(ISNUMBER(SEARCH("RandomUnderSampler",A53)),ISNUMBER(SEARCH("ClusterCentroids",A53)),ISNUMBER(SEARCH("OneSidedSelection",A53))),     "Over+Under",     "Czysty"    )   )  ) )</f>
        <v>Hybrid</v>
      </c>
      <c r="C53" s="1" t="s">
        <v>74</v>
      </c>
      <c r="D53" s="1" t="n">
        <v>0.4993</v>
      </c>
      <c r="E53" s="1" t="n">
        <v>0.4016</v>
      </c>
      <c r="F53" s="1" t="n">
        <v>0.4219</v>
      </c>
      <c r="G53" s="1" t="n">
        <v>0.4099</v>
      </c>
      <c r="I53" s="1"/>
      <c r="J53" s="1"/>
      <c r="K53" s="1"/>
      <c r="L53" s="1" t="str">
        <f aca="false">IF(  OR(ISNUMBER(SEARCH("SMOTEENN",A53)),ISNUMBER(SEARCH("SMOTETomek",A53))),  "Hybrid",  IF(   AND(    OR(ISNUMBER(SEARCH("SMOTE",A53)),ISNUMBER(SEARCH("SVMSMOTE",A53)),ISNUMBER(SEARCH("RandomOverSampler",A53)),ISNUMBER(SEARCH("BorderlineSmote",A53))),    OR(ISNUMBER(SEARCH("RandomUnderSampler",A53)),ISNUMBER(SEARCH("ClusterCentroids",A53)),ISNUMBER(SEARCH("OneSidedSelection",A53)))   ),   "Over+Under",   IF(    OR(ISNUMBER(SEARCH("SMOTE",A53)),ISNUMBER(SEARCH("SVMSMOTE",A53)),ISNUMBER(SEARCH("RandomOverSampler",A53)),ISNUMBER(SEARCH("BorderlineSmote",A53))),    "Oversampling",    IF(     OR(ISNUMBER(SEARCH("RandomUnderSampler",A53)),ISNUMBER(SEARCH("ClusterCentroids",A53)),ISNUMBER(SEARCH("OneSidedSelection",A53))),     "Undersampler",     ""    )   )  ) )</f>
        <v>Hybrid</v>
      </c>
      <c r="M53" s="1"/>
      <c r="N53" s="1"/>
    </row>
    <row r="54" customFormat="false" ht="15" hidden="false" customHeight="false" outlineLevel="0" collapsed="false">
      <c r="A54" s="1" t="s">
        <v>123</v>
      </c>
      <c r="B54" s="1" t="str">
        <f aca="false">IF(  OR(ISNUMBER(SEARCH("SMOTEENN",A54)),ISNUMBER(SEARCH("SMOTETomek",A54))),  "Hybrid",  IF(   AND(    OR(ISNUMBER(SEARCH("SMOTE",A54)),ISNUMBER(SEARCH("SVMSMOTE",A54)),ISNUMBER(SEARCH("RandomOverSampler",A54)),ISNUMBER(SEARCH("BorderlineSmote",A54))),    OR(ISNUMBER(SEARCH("RandomUnderSampler",A54)),ISNUMBER(SEARCH("ClusterCentroids",A54)),ISNUMBER(SEARCH("OneSidedSelection",A54)))   ),   "Over+Under",   IF(    OR(ISNUMBER(SEARCH("SMOTE",A54)),ISNUMBER(SEARCH("SVMSMOTE",A54)),ISNUMBER(SEARCH("RandomOverSampler",A54)),ISNUMBER(SEARCH("BorderlineSmote",A54))),    "Oversampling",    IF(     OR(ISNUMBER(SEARCH("RandomUnderSampler",A54)),ISNUMBER(SEARCH("ClusterCentroids",A54)),ISNUMBER(SEARCH("OneSidedSelection",A54))),     "Over+Under",     "Czysty"    )   )  ) )</f>
        <v>Oversampling</v>
      </c>
      <c r="C54" s="1" t="s">
        <v>74</v>
      </c>
      <c r="D54" s="1" t="n">
        <v>0.4832</v>
      </c>
      <c r="E54" s="1" t="n">
        <v>0.3973</v>
      </c>
      <c r="F54" s="1" t="n">
        <v>0.4081</v>
      </c>
      <c r="G54" s="1" t="n">
        <v>0.41</v>
      </c>
      <c r="I54" s="1"/>
      <c r="J54" s="1"/>
      <c r="K54" s="1"/>
      <c r="L54" s="1" t="str">
        <f aca="false">IF(  OR(ISNUMBER(SEARCH("SMOTEENN",A54)),ISNUMBER(SEARCH("SMOTETomek",A54))),  "Hybrid",  IF(   AND(    OR(ISNUMBER(SEARCH("SMOTE",A54)),ISNUMBER(SEARCH("SVMSMOTE",A54)),ISNUMBER(SEARCH("RandomOverSampler",A54)),ISNUMBER(SEARCH("BorderlineSmote",A54))),    OR(ISNUMBER(SEARCH("RandomUnderSampler",A54)),ISNUMBER(SEARCH("ClusterCentroids",A54)),ISNUMBER(SEARCH("OneSidedSelection",A54)))   ),   "Over+Under",   IF(    OR(ISNUMBER(SEARCH("SMOTE",A54)),ISNUMBER(SEARCH("SVMSMOTE",A54)),ISNUMBER(SEARCH("RandomOverSampler",A54)),ISNUMBER(SEARCH("BorderlineSmote",A54))),    "Oversampling",    IF(     OR(ISNUMBER(SEARCH("RandomUnderSampler",A54)),ISNUMBER(SEARCH("ClusterCentroids",A54)),ISNUMBER(SEARCH("OneSidedSelection",A54))),     "Undersampler",     ""    )   )  ) )</f>
        <v>Oversampling</v>
      </c>
      <c r="M54" s="1"/>
      <c r="N54" s="1"/>
    </row>
    <row r="55" customFormat="false" ht="15" hidden="false" customHeight="false" outlineLevel="0" collapsed="false">
      <c r="A55" s="1" t="s">
        <v>126</v>
      </c>
      <c r="B55" s="1" t="str">
        <f aca="false">IF(  OR(ISNUMBER(SEARCH("SMOTEENN",A55)),ISNUMBER(SEARCH("SMOTETomek",A55))),  "Hybrid",  IF(   AND(    OR(ISNUMBER(SEARCH("SMOTE",A55)),ISNUMBER(SEARCH("SVMSMOTE",A55)),ISNUMBER(SEARCH("RandomOverSampler",A55)),ISNUMBER(SEARCH("BorderlineSmote",A55))),    OR(ISNUMBER(SEARCH("RandomUnderSampler",A55)),ISNUMBER(SEARCH("ClusterCentroids",A55)),ISNUMBER(SEARCH("OneSidedSelection",A55)))   ),   "Over+Under",   IF(    OR(ISNUMBER(SEARCH("SMOTE",A55)),ISNUMBER(SEARCH("SVMSMOTE",A55)),ISNUMBER(SEARCH("RandomOverSampler",A55)),ISNUMBER(SEARCH("BorderlineSmote",A55))),    "Oversampling",    IF(     OR(ISNUMBER(SEARCH("RandomUnderSampler",A55)),ISNUMBER(SEARCH("ClusterCentroids",A55)),ISNUMBER(SEARCH("OneSidedSelection",A55))),     "Over+Under",     "Czysty"    )   )  ) )</f>
        <v>Oversampling</v>
      </c>
      <c r="C55" s="1" t="s">
        <v>74</v>
      </c>
      <c r="D55" s="1" t="n">
        <v>0.5139</v>
      </c>
      <c r="E55" s="1" t="n">
        <v>0.3956</v>
      </c>
      <c r="F55" s="1" t="n">
        <v>0.3975</v>
      </c>
      <c r="G55" s="1" t="n">
        <v>0.4101</v>
      </c>
      <c r="I55" s="1"/>
      <c r="J55" s="1"/>
      <c r="K55" s="1"/>
      <c r="L55" s="1" t="str">
        <f aca="false">IF(  OR(ISNUMBER(SEARCH("SMOTEENN",A55)),ISNUMBER(SEARCH("SMOTETomek",A55))),  "Hybrid",  IF(   AND(    OR(ISNUMBER(SEARCH("SMOTE",A55)),ISNUMBER(SEARCH("SVMSMOTE",A55)),ISNUMBER(SEARCH("RandomOverSampler",A55)),ISNUMBER(SEARCH("BorderlineSmote",A55))),    OR(ISNUMBER(SEARCH("RandomUnderSampler",A55)),ISNUMBER(SEARCH("ClusterCentroids",A55)),ISNUMBER(SEARCH("OneSidedSelection",A55)))   ),   "Over+Under",   IF(    OR(ISNUMBER(SEARCH("SMOTE",A55)),ISNUMBER(SEARCH("SVMSMOTE",A55)),ISNUMBER(SEARCH("RandomOverSampler",A55)),ISNUMBER(SEARCH("BorderlineSmote",A55))),    "Oversampling",    IF(     OR(ISNUMBER(SEARCH("RandomUnderSampler",A55)),ISNUMBER(SEARCH("ClusterCentroids",A55)),ISNUMBER(SEARCH("OneSidedSelection",A55))),     "Undersampler",     ""    )   )  ) )</f>
        <v>Oversampling</v>
      </c>
      <c r="M55" s="1"/>
      <c r="N55" s="1"/>
    </row>
    <row r="56" customFormat="false" ht="15" hidden="false" customHeight="false" outlineLevel="0" collapsed="false">
      <c r="A56" s="1" t="s">
        <v>17</v>
      </c>
      <c r="B56" s="1" t="str">
        <f aca="false">IF(  OR(ISNUMBER(SEARCH("SMOTEENN",A56)),ISNUMBER(SEARCH("SMOTETomek",A56))),  "Hybrid",  IF(   AND(    OR(ISNUMBER(SEARCH("SMOTE",A56)),ISNUMBER(SEARCH("SVMSMOTE",A56)),ISNUMBER(SEARCH("RandomOverSampler",A56)),ISNUMBER(SEARCH("BorderlineSmote",A56))),    OR(ISNUMBER(SEARCH("RandomUnderSampler",A56)),ISNUMBER(SEARCH("ClusterCentroids",A56)),ISNUMBER(SEARCH("OneSidedSelection",A56)))   ),   "Over+Under",   IF(    OR(ISNUMBER(SEARCH("SMOTE",A56)),ISNUMBER(SEARCH("SVMSMOTE",A56)),ISNUMBER(SEARCH("RandomOverSampler",A56)),ISNUMBER(SEARCH("BorderlineSmote",A56))),    "Oversampling",    IF(     OR(ISNUMBER(SEARCH("RandomUnderSampler",A56)),ISNUMBER(SEARCH("ClusterCentroids",A56)),ISNUMBER(SEARCH("OneSidedSelection",A56))),     "Over+Under",     "Czysty"    )   )  ) )</f>
        <v>Czysty</v>
      </c>
      <c r="C56" s="1" t="s">
        <v>74</v>
      </c>
      <c r="D56" s="1" t="n">
        <v>0.4845</v>
      </c>
      <c r="E56" s="1" t="n">
        <v>0.3805</v>
      </c>
      <c r="F56" s="1" t="n">
        <v>0.398</v>
      </c>
      <c r="G56" s="1" t="n">
        <v>0.3863</v>
      </c>
      <c r="I56" s="1"/>
      <c r="J56" s="1"/>
      <c r="K56" s="1"/>
      <c r="L56" s="1" t="str">
        <f aca="false">IF(  OR(ISNUMBER(SEARCH("SMOTEENN",A56)),ISNUMBER(SEARCH("SMOTETomek",A56))),  "Hybrid",  IF(   AND(    OR(ISNUMBER(SEARCH("SMOTE",A56)),ISNUMBER(SEARCH("SVMSMOTE",A56)),ISNUMBER(SEARCH("RandomOverSampler",A56)),ISNUMBER(SEARCH("BorderlineSmote",A56))),    OR(ISNUMBER(SEARCH("RandomUnderSampler",A56)),ISNUMBER(SEARCH("ClusterCentroids",A56)),ISNUMBER(SEARCH("OneSidedSelection",A56)))   ),   "Over+Under",   IF(    OR(ISNUMBER(SEARCH("SMOTE",A56)),ISNUMBER(SEARCH("SVMSMOTE",A56)),ISNUMBER(SEARCH("RandomOverSampler",A56)),ISNUMBER(SEARCH("BorderlineSmote",A56))),    "Oversampling",    IF(     OR(ISNUMBER(SEARCH("RandomUnderSampler",A56)),ISNUMBER(SEARCH("ClusterCentroids",A56)),ISNUMBER(SEARCH("OneSidedSelection",A56))),     "Undersampler",     ""    )   )  ) )</f>
        <v/>
      </c>
      <c r="M56" s="1"/>
      <c r="N56" s="1"/>
    </row>
    <row r="57" customFormat="false" ht="15" hidden="false" customHeight="false" outlineLevel="0" collapsed="false">
      <c r="A57" s="1" t="s">
        <v>82</v>
      </c>
      <c r="B57" s="1" t="str">
        <f aca="false">IF(  OR(ISNUMBER(SEARCH("SMOTEENN",A57)),ISNUMBER(SEARCH("SMOTETomek",A57))),  "Hybrid",  IF(   AND(    OR(ISNUMBER(SEARCH("SMOTE",A57)),ISNUMBER(SEARCH("SVMSMOTE",A57)),ISNUMBER(SEARCH("RandomOverSampler",A57)),ISNUMBER(SEARCH("BorderlineSmote",A57))),    OR(ISNUMBER(SEARCH("RandomUnderSampler",A57)),ISNUMBER(SEARCH("ClusterCentroids",A57)),ISNUMBER(SEARCH("OneSidedSelection",A57)))   ),   "Over+Under",   IF(    OR(ISNUMBER(SEARCH("SMOTE",A57)),ISNUMBER(SEARCH("SVMSMOTE",A57)),ISNUMBER(SEARCH("RandomOverSampler",A57)),ISNUMBER(SEARCH("BorderlineSmote",A57))),    "Oversampling",    IF(     OR(ISNUMBER(SEARCH("RandomUnderSampler",A57)),ISNUMBER(SEARCH("ClusterCentroids",A57)),ISNUMBER(SEARCH("OneSidedSelection",A57))),     "Over+Under",     "Czysty"    )   )  ) )</f>
        <v>Over+Under</v>
      </c>
      <c r="C57" s="1" t="s">
        <v>74</v>
      </c>
      <c r="D57" s="1" t="n">
        <v>0.3745</v>
      </c>
      <c r="E57" s="1" t="n">
        <v>0.3434</v>
      </c>
      <c r="F57" s="1" t="n">
        <v>0.3396</v>
      </c>
      <c r="G57" s="1" t="n">
        <v>0.3962</v>
      </c>
      <c r="I57" s="1"/>
      <c r="J57" s="1"/>
      <c r="K57" s="1"/>
      <c r="L57" s="1" t="str">
        <f aca="false">IF(  OR(ISNUMBER(SEARCH("SMOTEENN",A57)),ISNUMBER(SEARCH("SMOTETomek",A57))),  "Hybrid",  IF(   AND(    OR(ISNUMBER(SEARCH("SMOTE",A57)),ISNUMBER(SEARCH("SVMSMOTE",A57)),ISNUMBER(SEARCH("RandomOverSampler",A57)),ISNUMBER(SEARCH("BorderlineSmote",A57))),    OR(ISNUMBER(SEARCH("RandomUnderSampler",A57)),ISNUMBER(SEARCH("ClusterCentroids",A57)),ISNUMBER(SEARCH("OneSidedSelection",A57)))   ),   "Over+Under",   IF(    OR(ISNUMBER(SEARCH("SMOTE",A57)),ISNUMBER(SEARCH("SVMSMOTE",A57)),ISNUMBER(SEARCH("RandomOverSampler",A57)),ISNUMBER(SEARCH("BorderlineSmote",A57))),    "Oversampling",    IF(     OR(ISNUMBER(SEARCH("RandomUnderSampler",A57)),ISNUMBER(SEARCH("ClusterCentroids",A57)),ISNUMBER(SEARCH("OneSidedSelection",A57))),     "Undersampler",     ""    )   )  ) )</f>
        <v>Over+Under</v>
      </c>
      <c r="M57" s="1"/>
      <c r="N57" s="1"/>
    </row>
    <row r="58" customFormat="false" ht="15" hidden="false" customHeight="false" outlineLevel="0" collapsed="false">
      <c r="A58" s="1" t="s">
        <v>88</v>
      </c>
      <c r="B58" s="1" t="str">
        <f aca="false">IF(  OR(ISNUMBER(SEARCH("SMOTEENN",A58)),ISNUMBER(SEARCH("SMOTETomek",A58))),  "Hybrid",  IF(   AND(    OR(ISNUMBER(SEARCH("SMOTE",A58)),ISNUMBER(SEARCH("SVMSMOTE",A58)),ISNUMBER(SEARCH("RandomOverSampler",A58)),ISNUMBER(SEARCH("BorderlineSmote",A58))),    OR(ISNUMBER(SEARCH("RandomUnderSampler",A58)),ISNUMBER(SEARCH("ClusterCentroids",A58)),ISNUMBER(SEARCH("OneSidedSelection",A58)))   ),   "Over+Under",   IF(    OR(ISNUMBER(SEARCH("SMOTE",A58)),ISNUMBER(SEARCH("SVMSMOTE",A58)),ISNUMBER(SEARCH("RandomOverSampler",A58)),ISNUMBER(SEARCH("BorderlineSmote",A58))),    "Oversampling",    IF(     OR(ISNUMBER(SEARCH("RandomUnderSampler",A58)),ISNUMBER(SEARCH("ClusterCentroids",A58)),ISNUMBER(SEARCH("OneSidedSelection",A58))),     "Over+Under",     "Czysty"    )   )  ) )</f>
        <v>Over+Under</v>
      </c>
      <c r="C58" s="1" t="s">
        <v>74</v>
      </c>
      <c r="D58" s="1" t="n">
        <v>0.4303</v>
      </c>
      <c r="E58" s="1" t="n">
        <v>0.3424</v>
      </c>
      <c r="F58" s="1" t="n">
        <v>0.3323</v>
      </c>
      <c r="G58" s="1" t="n">
        <v>0.3669</v>
      </c>
      <c r="I58" s="1"/>
      <c r="J58" s="1"/>
      <c r="K58" s="1"/>
      <c r="L58" s="1" t="str">
        <f aca="false">IF(  OR(ISNUMBER(SEARCH("SMOTEENN",A58)),ISNUMBER(SEARCH("SMOTETomek",A58))),  "Hybrid",  IF(   AND(    OR(ISNUMBER(SEARCH("SMOTE",A58)),ISNUMBER(SEARCH("SVMSMOTE",A58)),ISNUMBER(SEARCH("RandomOverSampler",A58)),ISNUMBER(SEARCH("BorderlineSmote",A58))),    OR(ISNUMBER(SEARCH("RandomUnderSampler",A58)),ISNUMBER(SEARCH("ClusterCentroids",A58)),ISNUMBER(SEARCH("OneSidedSelection",A58)))   ),   "Over+Under",   IF(    OR(ISNUMBER(SEARCH("SMOTE",A58)),ISNUMBER(SEARCH("SVMSMOTE",A58)),ISNUMBER(SEARCH("RandomOverSampler",A58)),ISNUMBER(SEARCH("BorderlineSmote",A58))),    "Oversampling",    IF(     OR(ISNUMBER(SEARCH("RandomUnderSampler",A58)),ISNUMBER(SEARCH("ClusterCentroids",A58)),ISNUMBER(SEARCH("OneSidedSelection",A58))),     "Undersampler",     ""    )   )  ) )</f>
        <v>Over+Under</v>
      </c>
      <c r="M58" s="1"/>
      <c r="N58" s="1"/>
    </row>
    <row r="59" customFormat="false" ht="15" hidden="false" customHeight="false" outlineLevel="0" collapsed="false">
      <c r="A59" s="1" t="s">
        <v>125</v>
      </c>
      <c r="B59" s="1" t="str">
        <f aca="false">IF(  OR(ISNUMBER(SEARCH("SMOTEENN",A59)),ISNUMBER(SEARCH("SMOTETomek",A59))),  "Hybrid",  IF(   AND(    OR(ISNUMBER(SEARCH("SMOTE",A59)),ISNUMBER(SEARCH("SVMSMOTE",A59)),ISNUMBER(SEARCH("RandomOverSampler",A59)),ISNUMBER(SEARCH("BorderlineSmote",A59))),    OR(ISNUMBER(SEARCH("RandomUnderSampler",A59)),ISNUMBER(SEARCH("ClusterCentroids",A59)),ISNUMBER(SEARCH("OneSidedSelection",A59)))   ),   "Over+Under",   IF(    OR(ISNUMBER(SEARCH("SMOTE",A59)),ISNUMBER(SEARCH("SVMSMOTE",A59)),ISNUMBER(SEARCH("RandomOverSampler",A59)),ISNUMBER(SEARCH("BorderlineSmote",A59))),    "Oversampling",    IF(     OR(ISNUMBER(SEARCH("RandomUnderSampler",A59)),ISNUMBER(SEARCH("ClusterCentroids",A59)),ISNUMBER(SEARCH("OneSidedSelection",A59))),     "Over+Under",     "Czysty"    )   )  ) )</f>
        <v>Over+Under</v>
      </c>
      <c r="C59" s="1" t="s">
        <v>74</v>
      </c>
      <c r="D59" s="1" t="n">
        <v>0.3627</v>
      </c>
      <c r="E59" s="1" t="n">
        <v>0.3423</v>
      </c>
      <c r="F59" s="1" t="n">
        <v>0.343</v>
      </c>
      <c r="G59" s="1" t="n">
        <v>0.4028</v>
      </c>
      <c r="I59" s="1"/>
      <c r="J59" s="1"/>
      <c r="K59" s="1"/>
      <c r="L59" s="1" t="str">
        <f aca="false">IF(  OR(ISNUMBER(SEARCH("SMOTEENN",A59)),ISNUMBER(SEARCH("SMOTETomek",A59))),  "Hybrid",  IF(   AND(    OR(ISNUMBER(SEARCH("SMOTE",A59)),ISNUMBER(SEARCH("SVMSMOTE",A59)),ISNUMBER(SEARCH("RandomOverSampler",A59)),ISNUMBER(SEARCH("BorderlineSmote",A59))),    OR(ISNUMBER(SEARCH("RandomUnderSampler",A59)),ISNUMBER(SEARCH("ClusterCentroids",A59)),ISNUMBER(SEARCH("OneSidedSelection",A59)))   ),   "Over+Under",   IF(    OR(ISNUMBER(SEARCH("SMOTE",A59)),ISNUMBER(SEARCH("SVMSMOTE",A59)),ISNUMBER(SEARCH("RandomOverSampler",A59)),ISNUMBER(SEARCH("BorderlineSmote",A59))),    "Oversampling",    IF(     OR(ISNUMBER(SEARCH("RandomUnderSampler",A59)),ISNUMBER(SEARCH("ClusterCentroids",A59)),ISNUMBER(SEARCH("OneSidedSelection",A59))),     "Undersampler",     ""    )   )  ) )</f>
        <v>Over+Under</v>
      </c>
      <c r="M59" s="1"/>
      <c r="N59" s="1"/>
    </row>
    <row r="60" customFormat="false" ht="15" hidden="false" customHeight="false" outlineLevel="0" collapsed="false">
      <c r="A60" s="1" t="s">
        <v>84</v>
      </c>
      <c r="B60" s="1" t="str">
        <f aca="false">IF(  OR(ISNUMBER(SEARCH("SMOTEENN",A60)),ISNUMBER(SEARCH("SMOTETomek",A60))),  "Hybrid",  IF(   AND(    OR(ISNUMBER(SEARCH("SMOTE",A60)),ISNUMBER(SEARCH("SVMSMOTE",A60)),ISNUMBER(SEARCH("RandomOverSampler",A60)),ISNUMBER(SEARCH("BorderlineSmote",A60))),    OR(ISNUMBER(SEARCH("RandomUnderSampler",A60)),ISNUMBER(SEARCH("ClusterCentroids",A60)),ISNUMBER(SEARCH("OneSidedSelection",A60)))   ),   "Over+Under",   IF(    OR(ISNUMBER(SEARCH("SMOTE",A60)),ISNUMBER(SEARCH("SVMSMOTE",A60)),ISNUMBER(SEARCH("RandomOverSampler",A60)),ISNUMBER(SEARCH("BorderlineSmote",A60))),    "Oversampling",    IF(     OR(ISNUMBER(SEARCH("RandomUnderSampler",A60)),ISNUMBER(SEARCH("ClusterCentroids",A60)),ISNUMBER(SEARCH("OneSidedSelection",A60))),     "Over+Under",     "Czysty"    )   )  ) )</f>
        <v>Over+Under</v>
      </c>
      <c r="C60" s="1" t="s">
        <v>74</v>
      </c>
      <c r="D60" s="1" t="n">
        <v>0.4625</v>
      </c>
      <c r="E60" s="1" t="n">
        <v>0.3405</v>
      </c>
      <c r="F60" s="1" t="n">
        <v>0.3421</v>
      </c>
      <c r="G60" s="1" t="n">
        <v>0.3816</v>
      </c>
      <c r="I60" s="1"/>
      <c r="J60" s="1"/>
      <c r="K60" s="1"/>
      <c r="L60" s="1" t="str">
        <f aca="false">IF(  OR(ISNUMBER(SEARCH("SMOTEENN",A60)),ISNUMBER(SEARCH("SMOTETomek",A60))),  "Hybrid",  IF(   AND(    OR(ISNUMBER(SEARCH("SMOTE",A60)),ISNUMBER(SEARCH("SVMSMOTE",A60)),ISNUMBER(SEARCH("RandomOverSampler",A60)),ISNUMBER(SEARCH("BorderlineSmote",A60))),    OR(ISNUMBER(SEARCH("RandomUnderSampler",A60)),ISNUMBER(SEARCH("ClusterCentroids",A60)),ISNUMBER(SEARCH("OneSidedSelection",A60)))   ),   "Over+Under",   IF(    OR(ISNUMBER(SEARCH("SMOTE",A60)),ISNUMBER(SEARCH("SVMSMOTE",A60)),ISNUMBER(SEARCH("RandomOverSampler",A60)),ISNUMBER(SEARCH("BorderlineSmote",A60))),    "Oversampling",    IF(     OR(ISNUMBER(SEARCH("RandomUnderSampler",A60)),ISNUMBER(SEARCH("ClusterCentroids",A60)),ISNUMBER(SEARCH("OneSidedSelection",A60))),     "Undersampler",     ""    )   )  ) )</f>
        <v>Over+Under</v>
      </c>
      <c r="M60" s="1"/>
      <c r="N60" s="1"/>
    </row>
    <row r="61" customFormat="false" ht="15" hidden="false" customHeight="false" outlineLevel="0" collapsed="false">
      <c r="A61" s="1" t="s">
        <v>124</v>
      </c>
      <c r="B61" s="1" t="str">
        <f aca="false">IF(  OR(ISNUMBER(SEARCH("SMOTEENN",A61)),ISNUMBER(SEARCH("SMOTETomek",A61))),  "Hybrid",  IF(   AND(    OR(ISNUMBER(SEARCH("SMOTE",A61)),ISNUMBER(SEARCH("SVMSMOTE",A61)),ISNUMBER(SEARCH("RandomOverSampler",A61)),ISNUMBER(SEARCH("BorderlineSmote",A61))),    OR(ISNUMBER(SEARCH("RandomUnderSampler",A61)),ISNUMBER(SEARCH("ClusterCentroids",A61)),ISNUMBER(SEARCH("OneSidedSelection",A61)))   ),   "Over+Under",   IF(    OR(ISNUMBER(SEARCH("SMOTE",A61)),ISNUMBER(SEARCH("SVMSMOTE",A61)),ISNUMBER(SEARCH("RandomOverSampler",A61)),ISNUMBER(SEARCH("BorderlineSmote",A61))),    "Oversampling",    IF(     OR(ISNUMBER(SEARCH("RandomUnderSampler",A61)),ISNUMBER(SEARCH("ClusterCentroids",A61)),ISNUMBER(SEARCH("OneSidedSelection",A61))),     "Over+Under",     "Czysty"    )   )  ) )</f>
        <v>Over+Under</v>
      </c>
      <c r="C61" s="1" t="s">
        <v>74</v>
      </c>
      <c r="D61" s="1" t="n">
        <v>0.3599</v>
      </c>
      <c r="E61" s="1" t="n">
        <v>0.3372</v>
      </c>
      <c r="F61" s="1" t="n">
        <v>0.3288</v>
      </c>
      <c r="G61" s="1" t="n">
        <v>0.3786</v>
      </c>
      <c r="I61" s="1"/>
      <c r="J61" s="1"/>
      <c r="K61" s="1"/>
      <c r="L61" s="1" t="str">
        <f aca="false">IF(  OR(ISNUMBER(SEARCH("SMOTEENN",A61)),ISNUMBER(SEARCH("SMOTETomek",A61))),  "Hybrid",  IF(   AND(    OR(ISNUMBER(SEARCH("SMOTE",A61)),ISNUMBER(SEARCH("SVMSMOTE",A61)),ISNUMBER(SEARCH("RandomOverSampler",A61)),ISNUMBER(SEARCH("BorderlineSmote",A61))),    OR(ISNUMBER(SEARCH("RandomUnderSampler",A61)),ISNUMBER(SEARCH("ClusterCentroids",A61)),ISNUMBER(SEARCH("OneSidedSelection",A61)))   ),   "Over+Under",   IF(    OR(ISNUMBER(SEARCH("SMOTE",A61)),ISNUMBER(SEARCH("SVMSMOTE",A61)),ISNUMBER(SEARCH("RandomOverSampler",A61)),ISNUMBER(SEARCH("BorderlineSmote",A61))),    "Oversampling",    IF(     OR(ISNUMBER(SEARCH("RandomUnderSampler",A61)),ISNUMBER(SEARCH("ClusterCentroids",A61)),ISNUMBER(SEARCH("OneSidedSelection",A61))),     "Undersampler",     ""    )   )  ) )</f>
        <v>Over+Under</v>
      </c>
      <c r="M61" s="1"/>
      <c r="N61" s="1"/>
    </row>
    <row r="62" customFormat="false" ht="15" hidden="false" customHeight="false" outlineLevel="0" collapsed="false">
      <c r="A62" s="1" t="s">
        <v>83</v>
      </c>
      <c r="B62" s="1" t="str">
        <f aca="false">IF(  OR(ISNUMBER(SEARCH("SMOTEENN",A62)),ISNUMBER(SEARCH("SMOTETomek",A62))),  "Hybrid",  IF(   AND(    OR(ISNUMBER(SEARCH("SMOTE",A62)),ISNUMBER(SEARCH("SVMSMOTE",A62)),ISNUMBER(SEARCH("RandomOverSampler",A62)),ISNUMBER(SEARCH("BorderlineSmote",A62))),    OR(ISNUMBER(SEARCH("RandomUnderSampler",A62)),ISNUMBER(SEARCH("ClusterCentroids",A62)),ISNUMBER(SEARCH("OneSidedSelection",A62)))   ),   "Over+Under",   IF(    OR(ISNUMBER(SEARCH("SMOTE",A62)),ISNUMBER(SEARCH("SVMSMOTE",A62)),ISNUMBER(SEARCH("RandomOverSampler",A62)),ISNUMBER(SEARCH("BorderlineSmote",A62))),    "Oversampling",    IF(     OR(ISNUMBER(SEARCH("RandomUnderSampler",A62)),ISNUMBER(SEARCH("ClusterCentroids",A62)),ISNUMBER(SEARCH("OneSidedSelection",A62))),     "Over+Under",     "Czysty"    )   )  ) )</f>
        <v>Over+Under</v>
      </c>
      <c r="C62" s="1" t="s">
        <v>74</v>
      </c>
      <c r="D62" s="1" t="n">
        <v>0.3422</v>
      </c>
      <c r="E62" s="1" t="n">
        <v>0.3252</v>
      </c>
      <c r="F62" s="1" t="n">
        <v>0.3342</v>
      </c>
      <c r="G62" s="1" t="n">
        <v>0.3636</v>
      </c>
      <c r="I62" s="1"/>
      <c r="J62" s="1"/>
      <c r="K62" s="1"/>
      <c r="L62" s="1" t="str">
        <f aca="false">IF(  OR(ISNUMBER(SEARCH("SMOTEENN",A62)),ISNUMBER(SEARCH("SMOTETomek",A62))),  "Hybrid",  IF(   AND(    OR(ISNUMBER(SEARCH("SMOTE",A62)),ISNUMBER(SEARCH("SVMSMOTE",A62)),ISNUMBER(SEARCH("RandomOverSampler",A62)),ISNUMBER(SEARCH("BorderlineSmote",A62))),    OR(ISNUMBER(SEARCH("RandomUnderSampler",A62)),ISNUMBER(SEARCH("ClusterCentroids",A62)),ISNUMBER(SEARCH("OneSidedSelection",A62)))   ),   "Over+Under",   IF(    OR(ISNUMBER(SEARCH("SMOTE",A62)),ISNUMBER(SEARCH("SVMSMOTE",A62)),ISNUMBER(SEARCH("RandomOverSampler",A62)),ISNUMBER(SEARCH("BorderlineSmote",A62))),    "Oversampling",    IF(     OR(ISNUMBER(SEARCH("RandomUnderSampler",A62)),ISNUMBER(SEARCH("ClusterCentroids",A62)),ISNUMBER(SEARCH("OneSidedSelection",A62))),     "Undersampler",     ""    )   )  ) )</f>
        <v>Over+Under</v>
      </c>
      <c r="M62" s="1"/>
      <c r="N62" s="1"/>
    </row>
    <row r="63" customFormat="false" ht="15" hidden="false" customHeight="false" outlineLevel="0" collapsed="false">
      <c r="A63" s="1" t="s">
        <v>86</v>
      </c>
      <c r="B63" s="1" t="str">
        <f aca="false">IF(  OR(ISNUMBER(SEARCH("SMOTEENN",A63)),ISNUMBER(SEARCH("SMOTETomek",A63))),  "Hybrid",  IF(   AND(    OR(ISNUMBER(SEARCH("SMOTE",A63)),ISNUMBER(SEARCH("SVMSMOTE",A63)),ISNUMBER(SEARCH("RandomOverSampler",A63)),ISNUMBER(SEARCH("BorderlineSmote",A63))),    OR(ISNUMBER(SEARCH("RandomUnderSampler",A63)),ISNUMBER(SEARCH("ClusterCentroids",A63)),ISNUMBER(SEARCH("OneSidedSelection",A63)))   ),   "Over+Under",   IF(    OR(ISNUMBER(SEARCH("SMOTE",A63)),ISNUMBER(SEARCH("SVMSMOTE",A63)),ISNUMBER(SEARCH("RandomOverSampler",A63)),ISNUMBER(SEARCH("BorderlineSmote",A63))),    "Oversampling",    IF(     OR(ISNUMBER(SEARCH("RandomUnderSampler",A63)),ISNUMBER(SEARCH("ClusterCentroids",A63)),ISNUMBER(SEARCH("OneSidedSelection",A63))),     "Over+Under",     "Czysty"    )   )  ) )</f>
        <v>Over+Under</v>
      </c>
      <c r="C63" s="1" t="s">
        <v>74</v>
      </c>
      <c r="D63" s="1" t="n">
        <v>0.3231</v>
      </c>
      <c r="E63" s="1" t="n">
        <v>0.3086</v>
      </c>
      <c r="F63" s="1" t="n">
        <v>0.3121</v>
      </c>
      <c r="G63" s="1" t="n">
        <v>0.3616</v>
      </c>
      <c r="I63" s="1"/>
      <c r="J63" s="1"/>
      <c r="K63" s="1"/>
      <c r="L63" s="1" t="str">
        <f aca="false">IF(  OR(ISNUMBER(SEARCH("SMOTEENN",A63)),ISNUMBER(SEARCH("SMOTETomek",A63))),  "Hybrid",  IF(   AND(    OR(ISNUMBER(SEARCH("SMOTE",A63)),ISNUMBER(SEARCH("SVMSMOTE",A63)),ISNUMBER(SEARCH("RandomOverSampler",A63)),ISNUMBER(SEARCH("BorderlineSmote",A63))),    OR(ISNUMBER(SEARCH("RandomUnderSampler",A63)),ISNUMBER(SEARCH("ClusterCentroids",A63)),ISNUMBER(SEARCH("OneSidedSelection",A63)))   ),   "Over+Under",   IF(    OR(ISNUMBER(SEARCH("SMOTE",A63)),ISNUMBER(SEARCH("SVMSMOTE",A63)),ISNUMBER(SEARCH("RandomOverSampler",A63)),ISNUMBER(SEARCH("BorderlineSmote",A63))),    "Oversampling",    IF(     OR(ISNUMBER(SEARCH("RandomUnderSampler",A63)),ISNUMBER(SEARCH("ClusterCentroids",A63)),ISNUMBER(SEARCH("OneSidedSelection",A63))),     "Undersampler",     ""    )   )  ) )</f>
        <v>Over+Under</v>
      </c>
      <c r="M63" s="1"/>
      <c r="N63" s="1"/>
    </row>
    <row r="64" customFormat="false" ht="15" hidden="false" customHeight="false" outlineLevel="0" collapsed="false">
      <c r="A64" s="1" t="s">
        <v>85</v>
      </c>
      <c r="B64" s="1" t="str">
        <f aca="false">IF(  OR(ISNUMBER(SEARCH("SMOTEENN",A64)),ISNUMBER(SEARCH("SMOTETomek",A64))),  "Hybrid",  IF(   AND(    OR(ISNUMBER(SEARCH("SMOTE",A64)),ISNUMBER(SEARCH("SVMSMOTE",A64)),ISNUMBER(SEARCH("RandomOverSampler",A64)),ISNUMBER(SEARCH("BorderlineSmote",A64))),    OR(ISNUMBER(SEARCH("RandomUnderSampler",A64)),ISNUMBER(SEARCH("ClusterCentroids",A64)),ISNUMBER(SEARCH("OneSidedSelection",A64)))   ),   "Over+Under",   IF(    OR(ISNUMBER(SEARCH("SMOTE",A64)),ISNUMBER(SEARCH("SVMSMOTE",A64)),ISNUMBER(SEARCH("RandomOverSampler",A64)),ISNUMBER(SEARCH("BorderlineSmote",A64))),    "Oversampling",    IF(     OR(ISNUMBER(SEARCH("RandomUnderSampler",A64)),ISNUMBER(SEARCH("ClusterCentroids",A64)),ISNUMBER(SEARCH("OneSidedSelection",A64))),     "Over+Under",     "Czysty"    )   )  ) )</f>
        <v>Over+Under</v>
      </c>
      <c r="C64" s="1" t="s">
        <v>74</v>
      </c>
      <c r="D64" s="1" t="n">
        <v>0.3377</v>
      </c>
      <c r="E64" s="1" t="n">
        <v>0.3072</v>
      </c>
      <c r="F64" s="1" t="n">
        <v>0.3183</v>
      </c>
      <c r="G64" s="1" t="n">
        <v>0.3428</v>
      </c>
      <c r="I64" s="1"/>
      <c r="J64" s="1"/>
      <c r="K64" s="1"/>
      <c r="L64" s="1" t="str">
        <f aca="false">IF(  OR(ISNUMBER(SEARCH("SMOTEENN",A64)),ISNUMBER(SEARCH("SMOTETomek",A64))),  "Hybrid",  IF(   AND(    OR(ISNUMBER(SEARCH("SMOTE",A64)),ISNUMBER(SEARCH("SVMSMOTE",A64)),ISNUMBER(SEARCH("RandomOverSampler",A64)),ISNUMBER(SEARCH("BorderlineSmote",A64))),    OR(ISNUMBER(SEARCH("RandomUnderSampler",A64)),ISNUMBER(SEARCH("ClusterCentroids",A64)),ISNUMBER(SEARCH("OneSidedSelection",A64)))   ),   "Over+Under",   IF(    OR(ISNUMBER(SEARCH("SMOTE",A64)),ISNUMBER(SEARCH("SVMSMOTE",A64)),ISNUMBER(SEARCH("RandomOverSampler",A64)),ISNUMBER(SEARCH("BorderlineSmote",A64))),    "Oversampling",    IF(     OR(ISNUMBER(SEARCH("RandomUnderSampler",A64)),ISNUMBER(SEARCH("ClusterCentroids",A64)),ISNUMBER(SEARCH("OneSidedSelection",A64))),     "Undersampler",     ""    )   )  ) )</f>
        <v>Over+Under</v>
      </c>
      <c r="M64" s="1"/>
      <c r="N64" s="1"/>
    </row>
    <row r="65" customFormat="false" ht="15" hidden="false" customHeight="false" outlineLevel="0" collapsed="false">
      <c r="A65" s="1" t="s">
        <v>87</v>
      </c>
      <c r="B65" s="1" t="str">
        <f aca="false">IF(  OR(ISNUMBER(SEARCH("SMOTEENN",A65)),ISNUMBER(SEARCH("SMOTETomek",A65))),  "Hybrid",  IF(   AND(    OR(ISNUMBER(SEARCH("SMOTE",A65)),ISNUMBER(SEARCH("SVMSMOTE",A65)),ISNUMBER(SEARCH("RandomOverSampler",A65)),ISNUMBER(SEARCH("BorderlineSmote",A65))),    OR(ISNUMBER(SEARCH("RandomUnderSampler",A65)),ISNUMBER(SEARCH("ClusterCentroids",A65)),ISNUMBER(SEARCH("OneSidedSelection",A65)))   ),   "Over+Under",   IF(    OR(ISNUMBER(SEARCH("SMOTE",A65)),ISNUMBER(SEARCH("SVMSMOTE",A65)),ISNUMBER(SEARCH("RandomOverSampler",A65)),ISNUMBER(SEARCH("BorderlineSmote",A65))),    "Oversampling",    IF(     OR(ISNUMBER(SEARCH("RandomUnderSampler",A65)),ISNUMBER(SEARCH("ClusterCentroids",A65)),ISNUMBER(SEARCH("OneSidedSelection",A65))),     "Over+Under",     "Czysty"    )   )  ) )</f>
        <v>Hybrid</v>
      </c>
      <c r="C65" s="1" t="s">
        <v>74</v>
      </c>
      <c r="D65" s="1" t="n">
        <v>0.2526</v>
      </c>
      <c r="E65" s="1" t="n">
        <v>0.2829</v>
      </c>
      <c r="F65" s="1" t="n">
        <v>0.3659</v>
      </c>
      <c r="G65" s="1" t="n">
        <v>0.391</v>
      </c>
      <c r="I65" s="1"/>
      <c r="J65" s="1"/>
      <c r="K65" s="1"/>
      <c r="L65" s="1" t="str">
        <f aca="false">IF(  OR(ISNUMBER(SEARCH("SMOTEENN",A65)),ISNUMBER(SEARCH("SMOTETomek",A65))),  "Hybrid",  IF(   AND(    OR(ISNUMBER(SEARCH("SMOTE",A65)),ISNUMBER(SEARCH("SVMSMOTE",A65)),ISNUMBER(SEARCH("RandomOverSampler",A65)),ISNUMBER(SEARCH("BorderlineSmote",A65))),    OR(ISNUMBER(SEARCH("RandomUnderSampler",A65)),ISNUMBER(SEARCH("ClusterCentroids",A65)),ISNUMBER(SEARCH("OneSidedSelection",A65)))   ),   "Over+Under",   IF(    OR(ISNUMBER(SEARCH("SMOTE",A65)),ISNUMBER(SEARCH("SVMSMOTE",A65)),ISNUMBER(SEARCH("RandomOverSampler",A65)),ISNUMBER(SEARCH("BorderlineSmote",A65))),    "Oversampling",    IF(     OR(ISNUMBER(SEARCH("RandomUnderSampler",A65)),ISNUMBER(SEARCH("ClusterCentroids",A65)),ISNUMBER(SEARCH("OneSidedSelection",A65))),     "Undersampler",     ""    )   )  ) )</f>
        <v>Hybrid</v>
      </c>
      <c r="M65" s="1"/>
      <c r="N65" s="1"/>
    </row>
    <row r="66" customFormat="false" ht="15" hidden="false" customHeight="false" outlineLevel="0" collapsed="false">
      <c r="L66" s="1" t="str">
        <f aca="false">IF(  OR(ISNUMBER(SEARCH("SMOTEENN",A66)),ISNUMBER(SEARCH("SMOTETomek",A66))),  "Hybrid",  IF(   AND(    OR(ISNUMBER(SEARCH("SMOTE",A66)),ISNUMBER(SEARCH("SVMSMOTE",A66)),ISNUMBER(SEARCH("RandomOverSampler",A66)),ISNUMBER(SEARCH("BorderlineSmote",A66))),    OR(ISNUMBER(SEARCH("RandomUnderSampler",A66)),ISNUMBER(SEARCH("ClusterCentroids",A66)),ISNUMBER(SEARCH("OneSidedSelection",A66)))   ),   "Over+Under",   IF(    OR(ISNUMBER(SEARCH("SMOTE",A66)),ISNUMBER(SEARCH("SVMSMOTE",A66)),ISNUMBER(SEARCH("RandomOverSampler",A66)),ISNUMBER(SEARCH("BorderlineSmote",A66))),    "Oversampling",    IF(     OR(ISNUMBER(SEARCH("RandomUnderSampler",A66)),ISNUMBER(SEARCH("ClusterCentroids",A66)),ISNUMBER(SEARCH("OneSidedSelection",A66))),     "Undersampler",     ""    )   )  ) )</f>
        <v/>
      </c>
    </row>
    <row r="67" customFormat="false" ht="15" hidden="false" customHeight="false" outlineLevel="0" collapsed="false">
      <c r="A67" s="2" t="s">
        <v>23</v>
      </c>
      <c r="B67" s="2"/>
      <c r="C67" s="2"/>
      <c r="D67" s="2"/>
      <c r="E67" s="2"/>
      <c r="F67" s="2"/>
      <c r="G67" s="2"/>
      <c r="L67" s="1" t="str">
        <f aca="false">IF(  OR(ISNUMBER(SEARCH("SMOTEENN",A67)),ISNUMBER(SEARCH("SMOTETomek",A67))),  "Hybrid",  IF(   AND(    OR(ISNUMBER(SEARCH("SMOTE",A67)),ISNUMBER(SEARCH("SVMSMOTE",A67)),ISNUMBER(SEARCH("RandomOverSampler",A67)),ISNUMBER(SEARCH("BorderlineSmote",A67))),    OR(ISNUMBER(SEARCH("RandomUnderSampler",A67)),ISNUMBER(SEARCH("ClusterCentroids",A67)),ISNUMBER(SEARCH("OneSidedSelection",A67)))   ),   "Over+Under",   IF(    OR(ISNUMBER(SEARCH("SMOTE",A67)),ISNUMBER(SEARCH("SVMSMOTE",A67)),ISNUMBER(SEARCH("RandomOverSampler",A67)),ISNUMBER(SEARCH("BorderlineSmote",A67))),    "Oversampling",    IF(     OR(ISNUMBER(SEARCH("RandomUnderSampler",A67)),ISNUMBER(SEARCH("ClusterCentroids",A67)),ISNUMBER(SEARCH("OneSidedSelection",A67))),     "Undersampler",     ""    )   )  ) )</f>
        <v/>
      </c>
    </row>
    <row r="68" customFormat="false" ht="15" hidden="false" customHeight="false" outlineLevel="0" collapsed="false">
      <c r="A68" s="4" t="s">
        <v>2</v>
      </c>
      <c r="B68" s="4" t="s">
        <v>4</v>
      </c>
      <c r="C68" s="4" t="s">
        <v>5</v>
      </c>
      <c r="D68" s="4" t="s">
        <v>6</v>
      </c>
      <c r="E68" s="4" t="s">
        <v>127</v>
      </c>
      <c r="F68" s="4" t="s">
        <v>9</v>
      </c>
      <c r="G68" s="4" t="s">
        <v>10</v>
      </c>
      <c r="L68" s="1" t="str">
        <f aca="false">IF(  OR(ISNUMBER(SEARCH("SMOTEENN",A68)),ISNUMBER(SEARCH("SMOTETomek",A68))),  "Hybrid",  IF(   AND(    OR(ISNUMBER(SEARCH("SMOTE",A68)),ISNUMBER(SEARCH("SVMSMOTE",A68)),ISNUMBER(SEARCH("RandomOverSampler",A68)),ISNUMBER(SEARCH("BorderlineSmote",A68))),    OR(ISNUMBER(SEARCH("RandomUnderSampler",A68)),ISNUMBER(SEARCH("ClusterCentroids",A68)),ISNUMBER(SEARCH("OneSidedSelection",A68)))   ),   "Over+Under",   IF(    OR(ISNUMBER(SEARCH("SMOTE",A68)),ISNUMBER(SEARCH("SVMSMOTE",A68)),ISNUMBER(SEARCH("RandomOverSampler",A68)),ISNUMBER(SEARCH("BorderlineSmote",A68))),    "Oversampling",    IF(     OR(ISNUMBER(SEARCH("RandomUnderSampler",A68)),ISNUMBER(SEARCH("ClusterCentroids",A68)),ISNUMBER(SEARCH("OneSidedSelection",A68))),     "Undersampler",     ""    )   )  ) )</f>
        <v/>
      </c>
    </row>
    <row r="69" customFormat="false" ht="15" hidden="false" customHeight="false" outlineLevel="0" collapsed="false">
      <c r="A69" s="1" t="s">
        <v>88</v>
      </c>
      <c r="B69" s="1" t="str">
        <f aca="false">IF(  OR(ISNUMBER(SEARCH("SMOTEENN",A69)),ISNUMBER(SEARCH("SMOTETomek",A69))),  "Hybrid",  IF(   AND(    OR(ISNUMBER(SEARCH("SMOTE",A69)),ISNUMBER(SEARCH("SVMSMOTE",A69)),ISNUMBER(SEARCH("RandomOverSampler",A69)),ISNUMBER(SEARCH("BorderlineSmote",A69))),    OR(ISNUMBER(SEARCH("RandomUnderSampler",A69)),ISNUMBER(SEARCH("ClusterCentroids",A69)),ISNUMBER(SEARCH("OneSidedSelection",A69)))   ),   "Over+Under",   IF(    OR(ISNUMBER(SEARCH("SMOTE",A69)),ISNUMBER(SEARCH("SVMSMOTE",A69)),ISNUMBER(SEARCH("RandomOverSampler",A69)),ISNUMBER(SEARCH("BorderlineSmote",A69))),    "Oversampling",    IF(     OR(ISNUMBER(SEARCH("RandomUnderSampler",A69)),ISNUMBER(SEARCH("ClusterCentroids",A69)),ISNUMBER(SEARCH("OneSidedSelection",A69))),     "Over+Under",     "Czysty"    )   )  ) )</f>
        <v>Over+Under</v>
      </c>
      <c r="C69" s="1" t="s">
        <v>14</v>
      </c>
      <c r="D69" s="1" t="n">
        <v>0.4053</v>
      </c>
      <c r="E69" s="1" t="n">
        <v>0.3663</v>
      </c>
      <c r="F69" s="1" t="n">
        <v>0.3727</v>
      </c>
      <c r="G69" s="1" t="n">
        <v>0.3783</v>
      </c>
      <c r="I69" s="1"/>
      <c r="J69" s="1"/>
      <c r="K69" s="1"/>
      <c r="L69" s="1" t="str">
        <f aca="false">IF(  OR(ISNUMBER(SEARCH("SMOTEENN",A69)),ISNUMBER(SEARCH("SMOTETomek",A69))),  "Hybrid",  IF(   AND(    OR(ISNUMBER(SEARCH("SMOTE",A69)),ISNUMBER(SEARCH("SVMSMOTE",A69)),ISNUMBER(SEARCH("RandomOverSampler",A69)),ISNUMBER(SEARCH("BorderlineSmote",A69))),    OR(ISNUMBER(SEARCH("RandomUnderSampler",A69)),ISNUMBER(SEARCH("ClusterCentroids",A69)),ISNUMBER(SEARCH("OneSidedSelection",A69)))   ),   "Over+Under",   IF(    OR(ISNUMBER(SEARCH("SMOTE",A69)),ISNUMBER(SEARCH("SVMSMOTE",A69)),ISNUMBER(SEARCH("RandomOverSampler",A69)),ISNUMBER(SEARCH("BorderlineSmote",A69))),    "Oversampling",    IF(     OR(ISNUMBER(SEARCH("RandomUnderSampler",A69)),ISNUMBER(SEARCH("ClusterCentroids",A69)),ISNUMBER(SEARCH("OneSidedSelection",A69))),     "Undersampler",     ""    )   )  ) )</f>
        <v>Over+Under</v>
      </c>
      <c r="M69" s="1"/>
      <c r="N69" s="1"/>
    </row>
    <row r="70" customFormat="false" ht="15" hidden="false" customHeight="false" outlineLevel="0" collapsed="false">
      <c r="A70" s="1" t="s">
        <v>81</v>
      </c>
      <c r="B70" s="1" t="str">
        <f aca="false">IF(  OR(ISNUMBER(SEARCH("SMOTEENN",A70)),ISNUMBER(SEARCH("SMOTETomek",A70))),  "Hybrid",  IF(   AND(    OR(ISNUMBER(SEARCH("SMOTE",A70)),ISNUMBER(SEARCH("SVMSMOTE",A70)),ISNUMBER(SEARCH("RandomOverSampler",A70)),ISNUMBER(SEARCH("BorderlineSmote",A70))),    OR(ISNUMBER(SEARCH("RandomUnderSampler",A70)),ISNUMBER(SEARCH("ClusterCentroids",A70)),ISNUMBER(SEARCH("OneSidedSelection",A70)))   ),   "Over+Under",   IF(    OR(ISNUMBER(SEARCH("SMOTE",A70)),ISNUMBER(SEARCH("SVMSMOTE",A70)),ISNUMBER(SEARCH("RandomOverSampler",A70)),ISNUMBER(SEARCH("BorderlineSmote",A70))),    "Oversampling",    IF(     OR(ISNUMBER(SEARCH("RandomUnderSampler",A70)),ISNUMBER(SEARCH("ClusterCentroids",A70)),ISNUMBER(SEARCH("OneSidedSelection",A70))),     "Over+Under",     "Czysty"    )   )  ) )</f>
        <v>Oversampling</v>
      </c>
      <c r="C70" s="1" t="s">
        <v>14</v>
      </c>
      <c r="D70" s="1" t="n">
        <v>0.4346</v>
      </c>
      <c r="E70" s="1" t="n">
        <v>0.3517</v>
      </c>
      <c r="F70" s="1" t="n">
        <v>0.3629</v>
      </c>
      <c r="G70" s="1" t="n">
        <v>0.372</v>
      </c>
      <c r="I70" s="1"/>
      <c r="J70" s="1"/>
      <c r="K70" s="1"/>
      <c r="L70" s="1" t="str">
        <f aca="false">IF(  OR(ISNUMBER(SEARCH("SMOTEENN",A70)),ISNUMBER(SEARCH("SMOTETomek",A70))),  "Hybrid",  IF(   AND(    OR(ISNUMBER(SEARCH("SMOTE",A70)),ISNUMBER(SEARCH("SVMSMOTE",A70)),ISNUMBER(SEARCH("RandomOverSampler",A70)),ISNUMBER(SEARCH("BorderlineSmote",A70))),    OR(ISNUMBER(SEARCH("RandomUnderSampler",A70)),ISNUMBER(SEARCH("ClusterCentroids",A70)),ISNUMBER(SEARCH("OneSidedSelection",A70)))   ),   "Over+Under",   IF(    OR(ISNUMBER(SEARCH("SMOTE",A70)),ISNUMBER(SEARCH("SVMSMOTE",A70)),ISNUMBER(SEARCH("RandomOverSampler",A70)),ISNUMBER(SEARCH("BorderlineSmote",A70))),    "Oversampling",    IF(     OR(ISNUMBER(SEARCH("RandomUnderSampler",A70)),ISNUMBER(SEARCH("ClusterCentroids",A70)),ISNUMBER(SEARCH("OneSidedSelection",A70))),     "Undersampler",     ""    )   )  ) )</f>
        <v>Oversampling</v>
      </c>
      <c r="M70" s="1"/>
      <c r="N70" s="1"/>
    </row>
    <row r="71" customFormat="false" ht="15" hidden="false" customHeight="false" outlineLevel="0" collapsed="false">
      <c r="A71" s="1" t="s">
        <v>80</v>
      </c>
      <c r="B71" s="1" t="str">
        <f aca="false">IF(  OR(ISNUMBER(SEARCH("SMOTEENN",A71)),ISNUMBER(SEARCH("SMOTETomek",A71))),  "Hybrid",  IF(   AND(    OR(ISNUMBER(SEARCH("SMOTE",A71)),ISNUMBER(SEARCH("SVMSMOTE",A71)),ISNUMBER(SEARCH("RandomOverSampler",A71)),ISNUMBER(SEARCH("BorderlineSmote",A71))),    OR(ISNUMBER(SEARCH("RandomUnderSampler",A71)),ISNUMBER(SEARCH("ClusterCentroids",A71)),ISNUMBER(SEARCH("OneSidedSelection",A71)))   ),   "Over+Under",   IF(    OR(ISNUMBER(SEARCH("SMOTE",A71)),ISNUMBER(SEARCH("SVMSMOTE",A71)),ISNUMBER(SEARCH("RandomOverSampler",A71)),ISNUMBER(SEARCH("BorderlineSmote",A71))),    "Oversampling",    IF(     OR(ISNUMBER(SEARCH("RandomUnderSampler",A71)),ISNUMBER(SEARCH("ClusterCentroids",A71)),ISNUMBER(SEARCH("OneSidedSelection",A71))),     "Over+Under",     "Czysty"    )   )  ) )</f>
        <v>Hybrid</v>
      </c>
      <c r="C71" s="1" t="s">
        <v>14</v>
      </c>
      <c r="D71" s="1" t="n">
        <v>0.3833</v>
      </c>
      <c r="E71" s="1" t="n">
        <v>0.3496</v>
      </c>
      <c r="F71" s="1" t="n">
        <v>0.3477</v>
      </c>
      <c r="G71" s="1" t="n">
        <v>0.3643</v>
      </c>
      <c r="I71" s="1"/>
      <c r="J71" s="1"/>
      <c r="K71" s="1"/>
      <c r="L71" s="1" t="str">
        <f aca="false">IF(  OR(ISNUMBER(SEARCH("SMOTEENN",A71)),ISNUMBER(SEARCH("SMOTETomek",A71))),  "Hybrid",  IF(   AND(    OR(ISNUMBER(SEARCH("SMOTE",A71)),ISNUMBER(SEARCH("SVMSMOTE",A71)),ISNUMBER(SEARCH("RandomOverSampler",A71)),ISNUMBER(SEARCH("BorderlineSmote",A71))),    OR(ISNUMBER(SEARCH("RandomUnderSampler",A71)),ISNUMBER(SEARCH("ClusterCentroids",A71)),ISNUMBER(SEARCH("OneSidedSelection",A71)))   ),   "Over+Under",   IF(    OR(ISNUMBER(SEARCH("SMOTE",A71)),ISNUMBER(SEARCH("SVMSMOTE",A71)),ISNUMBER(SEARCH("RandomOverSampler",A71)),ISNUMBER(SEARCH("BorderlineSmote",A71))),    "Oversampling",    IF(     OR(ISNUMBER(SEARCH("RandomUnderSampler",A71)),ISNUMBER(SEARCH("ClusterCentroids",A71)),ISNUMBER(SEARCH("OneSidedSelection",A71))),     "Undersampler",     ""    )   )  ) )</f>
        <v>Hybrid</v>
      </c>
      <c r="M71" s="1"/>
      <c r="N71" s="1"/>
    </row>
    <row r="72" customFormat="false" ht="15" hidden="false" customHeight="false" outlineLevel="0" collapsed="false">
      <c r="A72" s="1" t="s">
        <v>123</v>
      </c>
      <c r="B72" s="1" t="str">
        <f aca="false">IF(  OR(ISNUMBER(SEARCH("SMOTEENN",A72)),ISNUMBER(SEARCH("SMOTETomek",A72))),  "Hybrid",  IF(   AND(    OR(ISNUMBER(SEARCH("SMOTE",A72)),ISNUMBER(SEARCH("SVMSMOTE",A72)),ISNUMBER(SEARCH("RandomOverSampler",A72)),ISNUMBER(SEARCH("BorderlineSmote",A72))),    OR(ISNUMBER(SEARCH("RandomUnderSampler",A72)),ISNUMBER(SEARCH("ClusterCentroids",A72)),ISNUMBER(SEARCH("OneSidedSelection",A72)))   ),   "Over+Under",   IF(    OR(ISNUMBER(SEARCH("SMOTE",A72)),ISNUMBER(SEARCH("SVMSMOTE",A72)),ISNUMBER(SEARCH("RandomOverSampler",A72)),ISNUMBER(SEARCH("BorderlineSmote",A72))),    "Oversampling",    IF(     OR(ISNUMBER(SEARCH("RandomUnderSampler",A72)),ISNUMBER(SEARCH("ClusterCentroids",A72)),ISNUMBER(SEARCH("OneSidedSelection",A72))),     "Over+Under",     "Czysty"    )   )  ) )</f>
        <v>Oversampling</v>
      </c>
      <c r="C72" s="1" t="s">
        <v>14</v>
      </c>
      <c r="D72" s="1" t="n">
        <v>0.3657</v>
      </c>
      <c r="E72" s="1" t="n">
        <v>0.3453</v>
      </c>
      <c r="F72" s="1" t="n">
        <v>0.3631</v>
      </c>
      <c r="G72" s="1" t="n">
        <v>0.3471</v>
      </c>
      <c r="I72" s="1"/>
      <c r="J72" s="1"/>
      <c r="K72" s="1"/>
      <c r="L72" s="1" t="str">
        <f aca="false">IF(  OR(ISNUMBER(SEARCH("SMOTEENN",A72)),ISNUMBER(SEARCH("SMOTETomek",A72))),  "Hybrid",  IF(   AND(    OR(ISNUMBER(SEARCH("SMOTE",A72)),ISNUMBER(SEARCH("SVMSMOTE",A72)),ISNUMBER(SEARCH("RandomOverSampler",A72)),ISNUMBER(SEARCH("BorderlineSmote",A72))),    OR(ISNUMBER(SEARCH("RandomUnderSampler",A72)),ISNUMBER(SEARCH("ClusterCentroids",A72)),ISNUMBER(SEARCH("OneSidedSelection",A72)))   ),   "Over+Under",   IF(    OR(ISNUMBER(SEARCH("SMOTE",A72)),ISNUMBER(SEARCH("SVMSMOTE",A72)),ISNUMBER(SEARCH("RandomOverSampler",A72)),ISNUMBER(SEARCH("BorderlineSmote",A72))),    "Oversampling",    IF(     OR(ISNUMBER(SEARCH("RandomUnderSampler",A72)),ISNUMBER(SEARCH("ClusterCentroids",A72)),ISNUMBER(SEARCH("OneSidedSelection",A72))),     "Undersampler",     ""    )   )  ) )</f>
        <v>Oversampling</v>
      </c>
      <c r="M72" s="1"/>
      <c r="N72" s="1"/>
    </row>
    <row r="73" customFormat="false" ht="15" hidden="false" customHeight="false" outlineLevel="0" collapsed="false">
      <c r="A73" s="1" t="s">
        <v>84</v>
      </c>
      <c r="B73" s="1" t="str">
        <f aca="false">IF(  OR(ISNUMBER(SEARCH("SMOTEENN",A73)),ISNUMBER(SEARCH("SMOTETomek",A73))),  "Hybrid",  IF(   AND(    OR(ISNUMBER(SEARCH("SMOTE",A73)),ISNUMBER(SEARCH("SVMSMOTE",A73)),ISNUMBER(SEARCH("RandomOverSampler",A73)),ISNUMBER(SEARCH("BorderlineSmote",A73))),    OR(ISNUMBER(SEARCH("RandomUnderSampler",A73)),ISNUMBER(SEARCH("ClusterCentroids",A73)),ISNUMBER(SEARCH("OneSidedSelection",A73)))   ),   "Over+Under",   IF(    OR(ISNUMBER(SEARCH("SMOTE",A73)),ISNUMBER(SEARCH("SVMSMOTE",A73)),ISNUMBER(SEARCH("RandomOverSampler",A73)),ISNUMBER(SEARCH("BorderlineSmote",A73))),    "Oversampling",    IF(     OR(ISNUMBER(SEARCH("RandomUnderSampler",A73)),ISNUMBER(SEARCH("ClusterCentroids",A73)),ISNUMBER(SEARCH("OneSidedSelection",A73))),     "Over+Under",     "Czysty"    )   )  ) )</f>
        <v>Over+Under</v>
      </c>
      <c r="C73" s="1" t="s">
        <v>14</v>
      </c>
      <c r="D73" s="1" t="n">
        <v>0.3934</v>
      </c>
      <c r="E73" s="1" t="n">
        <v>0.3435</v>
      </c>
      <c r="F73" s="1" t="n">
        <v>0.3703</v>
      </c>
      <c r="G73" s="1" t="n">
        <v>0.3561</v>
      </c>
      <c r="I73" s="1"/>
      <c r="J73" s="1"/>
      <c r="K73" s="1"/>
      <c r="L73" s="1" t="str">
        <f aca="false">IF(  OR(ISNUMBER(SEARCH("SMOTEENN",A73)),ISNUMBER(SEARCH("SMOTETomek",A73))),  "Hybrid",  IF(   AND(    OR(ISNUMBER(SEARCH("SMOTE",A73)),ISNUMBER(SEARCH("SVMSMOTE",A73)),ISNUMBER(SEARCH("RandomOverSampler",A73)),ISNUMBER(SEARCH("BorderlineSmote",A73))),    OR(ISNUMBER(SEARCH("RandomUnderSampler",A73)),ISNUMBER(SEARCH("ClusterCentroids",A73)),ISNUMBER(SEARCH("OneSidedSelection",A73)))   ),   "Over+Under",   IF(    OR(ISNUMBER(SEARCH("SMOTE",A73)),ISNUMBER(SEARCH("SVMSMOTE",A73)),ISNUMBER(SEARCH("RandomOverSampler",A73)),ISNUMBER(SEARCH("BorderlineSmote",A73))),    "Oversampling",    IF(     OR(ISNUMBER(SEARCH("RandomUnderSampler",A73)),ISNUMBER(SEARCH("ClusterCentroids",A73)),ISNUMBER(SEARCH("OneSidedSelection",A73))),     "Undersampler",     ""    )   )  ) )</f>
        <v>Over+Under</v>
      </c>
      <c r="M73" s="1"/>
      <c r="N73" s="1"/>
    </row>
    <row r="74" customFormat="false" ht="15" hidden="false" customHeight="false" outlineLevel="0" collapsed="false">
      <c r="A74" s="1" t="s">
        <v>126</v>
      </c>
      <c r="B74" s="1" t="str">
        <f aca="false">IF(  OR(ISNUMBER(SEARCH("SMOTEENN",A74)),ISNUMBER(SEARCH("SMOTETomek",A74))),  "Hybrid",  IF(   AND(    OR(ISNUMBER(SEARCH("SMOTE",A74)),ISNUMBER(SEARCH("SVMSMOTE",A74)),ISNUMBER(SEARCH("RandomOverSampler",A74)),ISNUMBER(SEARCH("BorderlineSmote",A74))),    OR(ISNUMBER(SEARCH("RandomUnderSampler",A74)),ISNUMBER(SEARCH("ClusterCentroids",A74)),ISNUMBER(SEARCH("OneSidedSelection",A74)))   ),   "Over+Under",   IF(    OR(ISNUMBER(SEARCH("SMOTE",A74)),ISNUMBER(SEARCH("SVMSMOTE",A74)),ISNUMBER(SEARCH("RandomOverSampler",A74)),ISNUMBER(SEARCH("BorderlineSmote",A74))),    "Oversampling",    IF(     OR(ISNUMBER(SEARCH("RandomUnderSampler",A74)),ISNUMBER(SEARCH("ClusterCentroids",A74)),ISNUMBER(SEARCH("OneSidedSelection",A74))),     "Over+Under",     "Czysty"    )   )  ) )</f>
        <v>Oversampling</v>
      </c>
      <c r="C74" s="1" t="s">
        <v>14</v>
      </c>
      <c r="D74" s="1" t="n">
        <v>0.3847</v>
      </c>
      <c r="E74" s="1" t="n">
        <v>0.3434</v>
      </c>
      <c r="F74" s="1" t="n">
        <v>0.3609</v>
      </c>
      <c r="G74" s="1" t="n">
        <v>0.3424</v>
      </c>
      <c r="I74" s="1"/>
      <c r="J74" s="1"/>
      <c r="K74" s="1"/>
      <c r="L74" s="1" t="str">
        <f aca="false">IF(  OR(ISNUMBER(SEARCH("SMOTEENN",A74)),ISNUMBER(SEARCH("SMOTETomek",A74))),  "Hybrid",  IF(   AND(    OR(ISNUMBER(SEARCH("SMOTE",A74)),ISNUMBER(SEARCH("SVMSMOTE",A74)),ISNUMBER(SEARCH("RandomOverSampler",A74)),ISNUMBER(SEARCH("BorderlineSmote",A74))),    OR(ISNUMBER(SEARCH("RandomUnderSampler",A74)),ISNUMBER(SEARCH("ClusterCentroids",A74)),ISNUMBER(SEARCH("OneSidedSelection",A74)))   ),   "Over+Under",   IF(    OR(ISNUMBER(SEARCH("SMOTE",A74)),ISNUMBER(SEARCH("SVMSMOTE",A74)),ISNUMBER(SEARCH("RandomOverSampler",A74)),ISNUMBER(SEARCH("BorderlineSmote",A74))),    "Oversampling",    IF(     OR(ISNUMBER(SEARCH("RandomUnderSampler",A74)),ISNUMBER(SEARCH("ClusterCentroids",A74)),ISNUMBER(SEARCH("OneSidedSelection",A74))),     "Undersampler",     ""    )   )  ) )</f>
        <v>Oversampling</v>
      </c>
      <c r="M74" s="1"/>
      <c r="N74" s="1"/>
    </row>
    <row r="75" customFormat="false" ht="15" hidden="false" customHeight="false" outlineLevel="0" collapsed="false">
      <c r="A75" s="1" t="s">
        <v>79</v>
      </c>
      <c r="B75" s="1" t="str">
        <f aca="false">IF(  OR(ISNUMBER(SEARCH("SMOTEENN",A75)),ISNUMBER(SEARCH("SMOTETomek",A75))),  "Hybrid",  IF(   AND(    OR(ISNUMBER(SEARCH("SMOTE",A75)),ISNUMBER(SEARCH("SVMSMOTE",A75)),ISNUMBER(SEARCH("RandomOverSampler",A75)),ISNUMBER(SEARCH("BorderlineSmote",A75))),    OR(ISNUMBER(SEARCH("RandomUnderSampler",A75)),ISNUMBER(SEARCH("ClusterCentroids",A75)),ISNUMBER(SEARCH("OneSidedSelection",A75)))   ),   "Over+Under",   IF(    OR(ISNUMBER(SEARCH("SMOTE",A75)),ISNUMBER(SEARCH("SVMSMOTE",A75)),ISNUMBER(SEARCH("RandomOverSampler",A75)),ISNUMBER(SEARCH("BorderlineSmote",A75))),    "Oversampling",    IF(     OR(ISNUMBER(SEARCH("RandomUnderSampler",A75)),ISNUMBER(SEARCH("ClusterCentroids",A75)),ISNUMBER(SEARCH("OneSidedSelection",A75))),     "Over+Under",     "Czysty"    )   )  ) )</f>
        <v>Oversampling</v>
      </c>
      <c r="C75" s="1" t="s">
        <v>14</v>
      </c>
      <c r="D75" s="1" t="n">
        <v>0.3715</v>
      </c>
      <c r="E75" s="1" t="n">
        <v>0.333</v>
      </c>
      <c r="F75" s="1" t="n">
        <v>0.3571</v>
      </c>
      <c r="G75" s="1" t="n">
        <v>0.3348</v>
      </c>
      <c r="I75" s="1"/>
      <c r="J75" s="1"/>
      <c r="K75" s="1"/>
      <c r="L75" s="1" t="str">
        <f aca="false">IF(  OR(ISNUMBER(SEARCH("SMOTEENN",A75)),ISNUMBER(SEARCH("SMOTETomek",A75))),  "Hybrid",  IF(   AND(    OR(ISNUMBER(SEARCH("SMOTE",A75)),ISNUMBER(SEARCH("SVMSMOTE",A75)),ISNUMBER(SEARCH("RandomOverSampler",A75)),ISNUMBER(SEARCH("BorderlineSmote",A75))),    OR(ISNUMBER(SEARCH("RandomUnderSampler",A75)),ISNUMBER(SEARCH("ClusterCentroids",A75)),ISNUMBER(SEARCH("OneSidedSelection",A75)))   ),   "Over+Under",   IF(    OR(ISNUMBER(SEARCH("SMOTE",A75)),ISNUMBER(SEARCH("SVMSMOTE",A75)),ISNUMBER(SEARCH("RandomOverSampler",A75)),ISNUMBER(SEARCH("BorderlineSmote",A75))),    "Oversampling",    IF(     OR(ISNUMBER(SEARCH("RandomUnderSampler",A75)),ISNUMBER(SEARCH("ClusterCentroids",A75)),ISNUMBER(SEARCH("OneSidedSelection",A75))),     "Undersampler",     ""    )   )  ) )</f>
        <v>Oversampling</v>
      </c>
      <c r="M75" s="1"/>
      <c r="N75" s="1"/>
    </row>
    <row r="76" customFormat="false" ht="15" hidden="false" customHeight="false" outlineLevel="0" collapsed="false">
      <c r="A76" s="1" t="s">
        <v>82</v>
      </c>
      <c r="B76" s="1" t="str">
        <f aca="false">IF(  OR(ISNUMBER(SEARCH("SMOTEENN",A76)),ISNUMBER(SEARCH("SMOTETomek",A76))),  "Hybrid",  IF(   AND(    OR(ISNUMBER(SEARCH("SMOTE",A76)),ISNUMBER(SEARCH("SVMSMOTE",A76)),ISNUMBER(SEARCH("RandomOverSampler",A76)),ISNUMBER(SEARCH("BorderlineSmote",A76))),    OR(ISNUMBER(SEARCH("RandomUnderSampler",A76)),ISNUMBER(SEARCH("ClusterCentroids",A76)),ISNUMBER(SEARCH("OneSidedSelection",A76)))   ),   "Over+Under",   IF(    OR(ISNUMBER(SEARCH("SMOTE",A76)),ISNUMBER(SEARCH("SVMSMOTE",A76)),ISNUMBER(SEARCH("RandomOverSampler",A76)),ISNUMBER(SEARCH("BorderlineSmote",A76))),    "Oversampling",    IF(     OR(ISNUMBER(SEARCH("RandomUnderSampler",A76)),ISNUMBER(SEARCH("ClusterCentroids",A76)),ISNUMBER(SEARCH("OneSidedSelection",A76))),     "Over+Under",     "Czysty"    )   )  ) )</f>
        <v>Over+Under</v>
      </c>
      <c r="C76" s="1" t="s">
        <v>14</v>
      </c>
      <c r="D76" s="1" t="n">
        <v>0.3217</v>
      </c>
      <c r="E76" s="1" t="n">
        <v>0.3196</v>
      </c>
      <c r="F76" s="1" t="n">
        <v>0.3389</v>
      </c>
      <c r="G76" s="1" t="n">
        <v>0.3646</v>
      </c>
      <c r="I76" s="1"/>
      <c r="J76" s="1"/>
      <c r="K76" s="1"/>
      <c r="L76" s="1" t="str">
        <f aca="false">IF(  OR(ISNUMBER(SEARCH("SMOTEENN",A76)),ISNUMBER(SEARCH("SMOTETomek",A76))),  "Hybrid",  IF(   AND(    OR(ISNUMBER(SEARCH("SMOTE",A76)),ISNUMBER(SEARCH("SVMSMOTE",A76)),ISNUMBER(SEARCH("RandomOverSampler",A76)),ISNUMBER(SEARCH("BorderlineSmote",A76))),    OR(ISNUMBER(SEARCH("RandomUnderSampler",A76)),ISNUMBER(SEARCH("ClusterCentroids",A76)),ISNUMBER(SEARCH("OneSidedSelection",A76)))   ),   "Over+Under",   IF(    OR(ISNUMBER(SEARCH("SMOTE",A76)),ISNUMBER(SEARCH("SVMSMOTE",A76)),ISNUMBER(SEARCH("RandomOverSampler",A76)),ISNUMBER(SEARCH("BorderlineSmote",A76))),    "Oversampling",    IF(     OR(ISNUMBER(SEARCH("RandomUnderSampler",A76)),ISNUMBER(SEARCH("ClusterCentroids",A76)),ISNUMBER(SEARCH("OneSidedSelection",A76))),     "Undersampler",     ""    )   )  ) )</f>
        <v>Over+Under</v>
      </c>
      <c r="M76" s="1"/>
      <c r="N76" s="1"/>
    </row>
    <row r="77" customFormat="false" ht="15" hidden="false" customHeight="false" outlineLevel="0" collapsed="false">
      <c r="A77" s="1" t="s">
        <v>125</v>
      </c>
      <c r="B77" s="1" t="str">
        <f aca="false">IF(  OR(ISNUMBER(SEARCH("SMOTEENN",A77)),ISNUMBER(SEARCH("SMOTETomek",A77))),  "Hybrid",  IF(   AND(    OR(ISNUMBER(SEARCH("SMOTE",A77)),ISNUMBER(SEARCH("SVMSMOTE",A77)),ISNUMBER(SEARCH("RandomOverSampler",A77)),ISNUMBER(SEARCH("BorderlineSmote",A77))),    OR(ISNUMBER(SEARCH("RandomUnderSampler",A77)),ISNUMBER(SEARCH("ClusterCentroids",A77)),ISNUMBER(SEARCH("OneSidedSelection",A77)))   ),   "Over+Under",   IF(    OR(ISNUMBER(SEARCH("SMOTE",A77)),ISNUMBER(SEARCH("SVMSMOTE",A77)),ISNUMBER(SEARCH("RandomOverSampler",A77)),ISNUMBER(SEARCH("BorderlineSmote",A77))),    "Oversampling",    IF(     OR(ISNUMBER(SEARCH("RandomUnderSampler",A77)),ISNUMBER(SEARCH("ClusterCentroids",A77)),ISNUMBER(SEARCH("OneSidedSelection",A77))),     "Over+Under",     "Czysty"    )   )  ) )</f>
        <v>Over+Under</v>
      </c>
      <c r="C77" s="1" t="s">
        <v>14</v>
      </c>
      <c r="D77" s="1" t="n">
        <v>0.3187</v>
      </c>
      <c r="E77" s="1" t="n">
        <v>0.3094</v>
      </c>
      <c r="F77" s="1" t="n">
        <v>0.3192</v>
      </c>
      <c r="G77" s="1" t="n">
        <v>0.3512</v>
      </c>
      <c r="I77" s="1"/>
      <c r="J77" s="1"/>
      <c r="K77" s="1"/>
      <c r="L77" s="1" t="str">
        <f aca="false">IF(  OR(ISNUMBER(SEARCH("SMOTEENN",A77)),ISNUMBER(SEARCH("SMOTETomek",A77))),  "Hybrid",  IF(   AND(    OR(ISNUMBER(SEARCH("SMOTE",A77)),ISNUMBER(SEARCH("SVMSMOTE",A77)),ISNUMBER(SEARCH("RandomOverSampler",A77)),ISNUMBER(SEARCH("BorderlineSmote",A77))),    OR(ISNUMBER(SEARCH("RandomUnderSampler",A77)),ISNUMBER(SEARCH("ClusterCentroids",A77)),ISNUMBER(SEARCH("OneSidedSelection",A77)))   ),   "Over+Under",   IF(    OR(ISNUMBER(SEARCH("SMOTE",A77)),ISNUMBER(SEARCH("SVMSMOTE",A77)),ISNUMBER(SEARCH("RandomOverSampler",A77)),ISNUMBER(SEARCH("BorderlineSmote",A77))),    "Oversampling",    IF(     OR(ISNUMBER(SEARCH("RandomUnderSampler",A77)),ISNUMBER(SEARCH("ClusterCentroids",A77)),ISNUMBER(SEARCH("OneSidedSelection",A77))),     "Undersampler",     ""    )   )  ) )</f>
        <v>Over+Under</v>
      </c>
      <c r="M77" s="1"/>
      <c r="N77" s="1"/>
    </row>
    <row r="78" customFormat="false" ht="15" hidden="false" customHeight="false" outlineLevel="0" collapsed="false">
      <c r="A78" s="1" t="s">
        <v>85</v>
      </c>
      <c r="B78" s="1" t="str">
        <f aca="false">IF(  OR(ISNUMBER(SEARCH("SMOTEENN",A78)),ISNUMBER(SEARCH("SMOTETomek",A78))),  "Hybrid",  IF(   AND(    OR(ISNUMBER(SEARCH("SMOTE",A78)),ISNUMBER(SEARCH("SVMSMOTE",A78)),ISNUMBER(SEARCH("RandomOverSampler",A78)),ISNUMBER(SEARCH("BorderlineSmote",A78))),    OR(ISNUMBER(SEARCH("RandomUnderSampler",A78)),ISNUMBER(SEARCH("ClusterCentroids",A78)),ISNUMBER(SEARCH("OneSidedSelection",A78)))   ),   "Over+Under",   IF(    OR(ISNUMBER(SEARCH("SMOTE",A78)),ISNUMBER(SEARCH("SVMSMOTE",A78)),ISNUMBER(SEARCH("RandomOverSampler",A78)),ISNUMBER(SEARCH("BorderlineSmote",A78))),    "Oversampling",    IF(     OR(ISNUMBER(SEARCH("RandomUnderSampler",A78)),ISNUMBER(SEARCH("ClusterCentroids",A78)),ISNUMBER(SEARCH("OneSidedSelection",A78))),     "Over+Under",     "Czysty"    )   )  ) )</f>
        <v>Over+Under</v>
      </c>
      <c r="C78" s="1" t="s">
        <v>14</v>
      </c>
      <c r="D78" s="1" t="n">
        <v>0.2864</v>
      </c>
      <c r="E78" s="1" t="n">
        <v>0.3055</v>
      </c>
      <c r="F78" s="1" t="n">
        <v>0.3248</v>
      </c>
      <c r="G78" s="1" t="n">
        <v>0.3554</v>
      </c>
      <c r="I78" s="1"/>
      <c r="J78" s="1"/>
      <c r="K78" s="1"/>
      <c r="L78" s="1" t="str">
        <f aca="false">IF(  OR(ISNUMBER(SEARCH("SMOTEENN",A78)),ISNUMBER(SEARCH("SMOTETomek",A78))),  "Hybrid",  IF(   AND(    OR(ISNUMBER(SEARCH("SMOTE",A78)),ISNUMBER(SEARCH("SVMSMOTE",A78)),ISNUMBER(SEARCH("RandomOverSampler",A78)),ISNUMBER(SEARCH("BorderlineSmote",A78))),    OR(ISNUMBER(SEARCH("RandomUnderSampler",A78)),ISNUMBER(SEARCH("ClusterCentroids",A78)),ISNUMBER(SEARCH("OneSidedSelection",A78)))   ),   "Over+Under",   IF(    OR(ISNUMBER(SEARCH("SMOTE",A78)),ISNUMBER(SEARCH("SVMSMOTE",A78)),ISNUMBER(SEARCH("RandomOverSampler",A78)),ISNUMBER(SEARCH("BorderlineSmote",A78))),    "Oversampling",    IF(     OR(ISNUMBER(SEARCH("RandomUnderSampler",A78)),ISNUMBER(SEARCH("ClusterCentroids",A78)),ISNUMBER(SEARCH("OneSidedSelection",A78))),     "Undersampler",     ""    )   )  ) )</f>
        <v>Over+Under</v>
      </c>
      <c r="M78" s="1"/>
      <c r="N78" s="1"/>
    </row>
    <row r="79" customFormat="false" ht="15" hidden="false" customHeight="false" outlineLevel="0" collapsed="false">
      <c r="A79" s="1" t="s">
        <v>23</v>
      </c>
      <c r="B79" s="1" t="str">
        <f aca="false">IF(  OR(ISNUMBER(SEARCH("SMOTEENN",A79)),ISNUMBER(SEARCH("SMOTETomek",A79))),  "Hybrid",  IF(   AND(    OR(ISNUMBER(SEARCH("SMOTE",A79)),ISNUMBER(SEARCH("SVMSMOTE",A79)),ISNUMBER(SEARCH("RandomOverSampler",A79)),ISNUMBER(SEARCH("BorderlineSmote",A79))),    OR(ISNUMBER(SEARCH("RandomUnderSampler",A79)),ISNUMBER(SEARCH("ClusterCentroids",A79)),ISNUMBER(SEARCH("OneSidedSelection",A79)))   ),   "Over+Under",   IF(    OR(ISNUMBER(SEARCH("SMOTE",A79)),ISNUMBER(SEARCH("SVMSMOTE",A79)),ISNUMBER(SEARCH("RandomOverSampler",A79)),ISNUMBER(SEARCH("BorderlineSmote",A79))),    "Oversampling",    IF(     OR(ISNUMBER(SEARCH("RandomUnderSampler",A79)),ISNUMBER(SEARCH("ClusterCentroids",A79)),ISNUMBER(SEARCH("OneSidedSelection",A79))),     "Over+Under",     "Czysty"    )   )  ) )</f>
        <v>Czysty</v>
      </c>
      <c r="C79" s="1" t="s">
        <v>14</v>
      </c>
      <c r="D79" s="1" t="n">
        <v>0.3832</v>
      </c>
      <c r="E79" s="1" t="n">
        <v>0.2989</v>
      </c>
      <c r="F79" s="1" t="n">
        <v>0.3072</v>
      </c>
      <c r="G79" s="1" t="n">
        <v>0.2997</v>
      </c>
      <c r="I79" s="1"/>
      <c r="J79" s="1"/>
      <c r="K79" s="1"/>
      <c r="L79" s="1" t="str">
        <f aca="false">IF(  OR(ISNUMBER(SEARCH("SMOTEENN",A79)),ISNUMBER(SEARCH("SMOTETomek",A79))),  "Hybrid",  IF(   AND(    OR(ISNUMBER(SEARCH("SMOTE",A79)),ISNUMBER(SEARCH("SVMSMOTE",A79)),ISNUMBER(SEARCH("RandomOverSampler",A79)),ISNUMBER(SEARCH("BorderlineSmote",A79))),    OR(ISNUMBER(SEARCH("RandomUnderSampler",A79)),ISNUMBER(SEARCH("ClusterCentroids",A79)),ISNUMBER(SEARCH("OneSidedSelection",A79)))   ),   "Over+Under",   IF(    OR(ISNUMBER(SEARCH("SMOTE",A79)),ISNUMBER(SEARCH("SVMSMOTE",A79)),ISNUMBER(SEARCH("RandomOverSampler",A79)),ISNUMBER(SEARCH("BorderlineSmote",A79))),    "Oversampling",    IF(     OR(ISNUMBER(SEARCH("RandomUnderSampler",A79)),ISNUMBER(SEARCH("ClusterCentroids",A79)),ISNUMBER(SEARCH("OneSidedSelection",A79))),     "Undersampler",     ""    )   )  ) )</f>
        <v/>
      </c>
      <c r="M79" s="1"/>
      <c r="N79" s="1"/>
    </row>
    <row r="80" customFormat="false" ht="15" hidden="false" customHeight="false" outlineLevel="0" collapsed="false">
      <c r="A80" s="1" t="s">
        <v>83</v>
      </c>
      <c r="B80" s="1" t="str">
        <f aca="false">IF(  OR(ISNUMBER(SEARCH("SMOTEENN",A80)),ISNUMBER(SEARCH("SMOTETomek",A80))),  "Hybrid",  IF(   AND(    OR(ISNUMBER(SEARCH("SMOTE",A80)),ISNUMBER(SEARCH("SVMSMOTE",A80)),ISNUMBER(SEARCH("RandomOverSampler",A80)),ISNUMBER(SEARCH("BorderlineSmote",A80))),    OR(ISNUMBER(SEARCH("RandomUnderSampler",A80)),ISNUMBER(SEARCH("ClusterCentroids",A80)),ISNUMBER(SEARCH("OneSidedSelection",A80)))   ),   "Over+Under",   IF(    OR(ISNUMBER(SEARCH("SMOTE",A80)),ISNUMBER(SEARCH("SVMSMOTE",A80)),ISNUMBER(SEARCH("RandomOverSampler",A80)),ISNUMBER(SEARCH("BorderlineSmote",A80))),    "Oversampling",    IF(     OR(ISNUMBER(SEARCH("RandomUnderSampler",A80)),ISNUMBER(SEARCH("ClusterCentroids",A80)),ISNUMBER(SEARCH("OneSidedSelection",A80))),     "Over+Under",     "Czysty"    )   )  ) )</f>
        <v>Over+Under</v>
      </c>
      <c r="C80" s="1" t="s">
        <v>14</v>
      </c>
      <c r="D80" s="1" t="n">
        <v>0.3171</v>
      </c>
      <c r="E80" s="1" t="n">
        <v>0.2978</v>
      </c>
      <c r="F80" s="1" t="n">
        <v>0.3153</v>
      </c>
      <c r="G80" s="1" t="n">
        <v>0.3418</v>
      </c>
      <c r="I80" s="1"/>
      <c r="J80" s="1"/>
      <c r="K80" s="1"/>
      <c r="L80" s="1" t="str">
        <f aca="false">IF(  OR(ISNUMBER(SEARCH("SMOTEENN",A80)),ISNUMBER(SEARCH("SMOTETomek",A80))),  "Hybrid",  IF(   AND(    OR(ISNUMBER(SEARCH("SMOTE",A80)),ISNUMBER(SEARCH("SVMSMOTE",A80)),ISNUMBER(SEARCH("RandomOverSampler",A80)),ISNUMBER(SEARCH("BorderlineSmote",A80))),    OR(ISNUMBER(SEARCH("RandomUnderSampler",A80)),ISNUMBER(SEARCH("ClusterCentroids",A80)),ISNUMBER(SEARCH("OneSidedSelection",A80)))   ),   "Over+Under",   IF(    OR(ISNUMBER(SEARCH("SMOTE",A80)),ISNUMBER(SEARCH("SVMSMOTE",A80)),ISNUMBER(SEARCH("RandomOverSampler",A80)),ISNUMBER(SEARCH("BorderlineSmote",A80))),    "Oversampling",    IF(     OR(ISNUMBER(SEARCH("RandomUnderSampler",A80)),ISNUMBER(SEARCH("ClusterCentroids",A80)),ISNUMBER(SEARCH("OneSidedSelection",A80))),     "Undersampler",     ""    )   )  ) )</f>
        <v>Over+Under</v>
      </c>
      <c r="M80" s="1"/>
      <c r="N80" s="1"/>
    </row>
    <row r="81" customFormat="false" ht="15" hidden="false" customHeight="false" outlineLevel="0" collapsed="false">
      <c r="A81" s="1" t="s">
        <v>124</v>
      </c>
      <c r="B81" s="1" t="str">
        <f aca="false">IF(  OR(ISNUMBER(SEARCH("SMOTEENN",A81)),ISNUMBER(SEARCH("SMOTETomek",A81))),  "Hybrid",  IF(   AND(    OR(ISNUMBER(SEARCH("SMOTE",A81)),ISNUMBER(SEARCH("SVMSMOTE",A81)),ISNUMBER(SEARCH("RandomOverSampler",A81)),ISNUMBER(SEARCH("BorderlineSmote",A81))),    OR(ISNUMBER(SEARCH("RandomUnderSampler",A81)),ISNUMBER(SEARCH("ClusterCentroids",A81)),ISNUMBER(SEARCH("OneSidedSelection",A81)))   ),   "Over+Under",   IF(    OR(ISNUMBER(SEARCH("SMOTE",A81)),ISNUMBER(SEARCH("SVMSMOTE",A81)),ISNUMBER(SEARCH("RandomOverSampler",A81)),ISNUMBER(SEARCH("BorderlineSmote",A81))),    "Oversampling",    IF(     OR(ISNUMBER(SEARCH("RandomUnderSampler",A81)),ISNUMBER(SEARCH("ClusterCentroids",A81)),ISNUMBER(SEARCH("OneSidedSelection",A81))),     "Over+Under",     "Czysty"    )   )  ) )</f>
        <v>Over+Under</v>
      </c>
      <c r="C81" s="1" t="s">
        <v>14</v>
      </c>
      <c r="D81" s="1" t="n">
        <v>0.3143</v>
      </c>
      <c r="E81" s="1" t="n">
        <v>0.2965</v>
      </c>
      <c r="F81" s="1" t="n">
        <v>0.3102</v>
      </c>
      <c r="G81" s="1" t="n">
        <v>0.3378</v>
      </c>
      <c r="I81" s="1"/>
      <c r="J81" s="1"/>
      <c r="K81" s="1"/>
      <c r="L81" s="1" t="str">
        <f aca="false">IF(  OR(ISNUMBER(SEARCH("SMOTEENN",A81)),ISNUMBER(SEARCH("SMOTETomek",A81))),  "Hybrid",  IF(   AND(    OR(ISNUMBER(SEARCH("SMOTE",A81)),ISNUMBER(SEARCH("SVMSMOTE",A81)),ISNUMBER(SEARCH("RandomOverSampler",A81)),ISNUMBER(SEARCH("BorderlineSmote",A81))),    OR(ISNUMBER(SEARCH("RandomUnderSampler",A81)),ISNUMBER(SEARCH("ClusterCentroids",A81)),ISNUMBER(SEARCH("OneSidedSelection",A81)))   ),   "Over+Under",   IF(    OR(ISNUMBER(SEARCH("SMOTE",A81)),ISNUMBER(SEARCH("SVMSMOTE",A81)),ISNUMBER(SEARCH("RandomOverSampler",A81)),ISNUMBER(SEARCH("BorderlineSmote",A81))),    "Oversampling",    IF(     OR(ISNUMBER(SEARCH("RandomUnderSampler",A81)),ISNUMBER(SEARCH("ClusterCentroids",A81)),ISNUMBER(SEARCH("OneSidedSelection",A81))),     "Undersampler",     ""    )   )  ) )</f>
        <v>Over+Under</v>
      </c>
      <c r="M81" s="1"/>
      <c r="N81" s="1"/>
    </row>
    <row r="82" customFormat="false" ht="15" hidden="false" customHeight="false" outlineLevel="0" collapsed="false">
      <c r="A82" s="1" t="s">
        <v>86</v>
      </c>
      <c r="B82" s="1" t="str">
        <f aca="false">IF(  OR(ISNUMBER(SEARCH("SMOTEENN",A82)),ISNUMBER(SEARCH("SMOTETomek",A82))),  "Hybrid",  IF(   AND(    OR(ISNUMBER(SEARCH("SMOTE",A82)),ISNUMBER(SEARCH("SVMSMOTE",A82)),ISNUMBER(SEARCH("RandomOverSampler",A82)),ISNUMBER(SEARCH("BorderlineSmote",A82))),    OR(ISNUMBER(SEARCH("RandomUnderSampler",A82)),ISNUMBER(SEARCH("ClusterCentroids",A82)),ISNUMBER(SEARCH("OneSidedSelection",A82)))   ),   "Over+Under",   IF(    OR(ISNUMBER(SEARCH("SMOTE",A82)),ISNUMBER(SEARCH("SVMSMOTE",A82)),ISNUMBER(SEARCH("RandomOverSampler",A82)),ISNUMBER(SEARCH("BorderlineSmote",A82))),    "Oversampling",    IF(     OR(ISNUMBER(SEARCH("RandomUnderSampler",A82)),ISNUMBER(SEARCH("ClusterCentroids",A82)),ISNUMBER(SEARCH("OneSidedSelection",A82))),     "Over+Under",     "Czysty"    )   )  ) )</f>
        <v>Over+Under</v>
      </c>
      <c r="C82" s="1" t="s">
        <v>14</v>
      </c>
      <c r="D82" s="1" t="n">
        <v>0.2878</v>
      </c>
      <c r="E82" s="1" t="n">
        <v>0.2704</v>
      </c>
      <c r="F82" s="1" t="n">
        <v>0.2817</v>
      </c>
      <c r="G82" s="1" t="n">
        <v>0.3037</v>
      </c>
      <c r="I82" s="1"/>
      <c r="J82" s="1"/>
      <c r="K82" s="1"/>
      <c r="L82" s="1" t="str">
        <f aca="false">IF(  OR(ISNUMBER(SEARCH("SMOTEENN",A82)),ISNUMBER(SEARCH("SMOTETomek",A82))),  "Hybrid",  IF(   AND(    OR(ISNUMBER(SEARCH("SMOTE",A82)),ISNUMBER(SEARCH("SVMSMOTE",A82)),ISNUMBER(SEARCH("RandomOverSampler",A82)),ISNUMBER(SEARCH("BorderlineSmote",A82))),    OR(ISNUMBER(SEARCH("RandomUnderSampler",A82)),ISNUMBER(SEARCH("ClusterCentroids",A82)),ISNUMBER(SEARCH("OneSidedSelection",A82)))   ),   "Over+Under",   IF(    OR(ISNUMBER(SEARCH("SMOTE",A82)),ISNUMBER(SEARCH("SVMSMOTE",A82)),ISNUMBER(SEARCH("RandomOverSampler",A82)),ISNUMBER(SEARCH("BorderlineSmote",A82))),    "Oversampling",    IF(     OR(ISNUMBER(SEARCH("RandomUnderSampler",A82)),ISNUMBER(SEARCH("ClusterCentroids",A82)),ISNUMBER(SEARCH("OneSidedSelection",A82))),     "Undersampler",     ""    )   )  ) )</f>
        <v>Over+Under</v>
      </c>
      <c r="M82" s="1"/>
      <c r="N82" s="1"/>
    </row>
    <row r="83" customFormat="false" ht="15" hidden="false" customHeight="false" outlineLevel="0" collapsed="false">
      <c r="A83" s="1" t="s">
        <v>87</v>
      </c>
      <c r="B83" s="1" t="str">
        <f aca="false">IF(  OR(ISNUMBER(SEARCH("SMOTEENN",A83)),ISNUMBER(SEARCH("SMOTETomek",A83))),  "Hybrid",  IF(   AND(    OR(ISNUMBER(SEARCH("SMOTE",A83)),ISNUMBER(SEARCH("SVMSMOTE",A83)),ISNUMBER(SEARCH("RandomOverSampler",A83)),ISNUMBER(SEARCH("BorderlineSmote",A83))),    OR(ISNUMBER(SEARCH("RandomUnderSampler",A83)),ISNUMBER(SEARCH("ClusterCentroids",A83)),ISNUMBER(SEARCH("OneSidedSelection",A83)))   ),   "Over+Under",   IF(    OR(ISNUMBER(SEARCH("SMOTE",A83)),ISNUMBER(SEARCH("SVMSMOTE",A83)),ISNUMBER(SEARCH("RandomOverSampler",A83)),ISNUMBER(SEARCH("BorderlineSmote",A83))),    "Oversampling",    IF(     OR(ISNUMBER(SEARCH("RandomUnderSampler",A83)),ISNUMBER(SEARCH("ClusterCentroids",A83)),ISNUMBER(SEARCH("OneSidedSelection",A83))),     "Over+Under",     "Czysty"    )   )  ) )</f>
        <v>Hybrid</v>
      </c>
      <c r="C83" s="1" t="s">
        <v>14</v>
      </c>
      <c r="D83" s="1" t="n">
        <v>0.2055</v>
      </c>
      <c r="E83" s="1" t="n">
        <v>0.2355</v>
      </c>
      <c r="F83" s="1" t="n">
        <v>0.2155</v>
      </c>
      <c r="G83" s="1" t="n">
        <v>0.3263</v>
      </c>
      <c r="I83" s="1"/>
      <c r="J83" s="1"/>
      <c r="K83" s="1"/>
      <c r="L83" s="1" t="str">
        <f aca="false">IF(  OR(ISNUMBER(SEARCH("SMOTEENN",A83)),ISNUMBER(SEARCH("SMOTETomek",A83))),  "Hybrid",  IF(   AND(    OR(ISNUMBER(SEARCH("SMOTE",A83)),ISNUMBER(SEARCH("SVMSMOTE",A83)),ISNUMBER(SEARCH("RandomOverSampler",A83)),ISNUMBER(SEARCH("BorderlineSmote",A83))),    OR(ISNUMBER(SEARCH("RandomUnderSampler",A83)),ISNUMBER(SEARCH("ClusterCentroids",A83)),ISNUMBER(SEARCH("OneSidedSelection",A83)))   ),   "Over+Under",   IF(    OR(ISNUMBER(SEARCH("SMOTE",A83)),ISNUMBER(SEARCH("SVMSMOTE",A83)),ISNUMBER(SEARCH("RandomOverSampler",A83)),ISNUMBER(SEARCH("BorderlineSmote",A83))),    "Oversampling",    IF(     OR(ISNUMBER(SEARCH("RandomUnderSampler",A83)),ISNUMBER(SEARCH("ClusterCentroids",A83)),ISNUMBER(SEARCH("OneSidedSelection",A83))),     "Undersampler",     ""    )   )  ) )</f>
        <v>Hybrid</v>
      </c>
      <c r="M83" s="1"/>
      <c r="N83" s="1"/>
    </row>
    <row r="84" customFormat="false" ht="15" hidden="false" customHeight="false" outlineLevel="0" collapsed="false">
      <c r="A84" s="1" t="s">
        <v>126</v>
      </c>
      <c r="B84" s="1" t="str">
        <f aca="false">IF(  OR(ISNUMBER(SEARCH("SMOTEENN",A84)),ISNUMBER(SEARCH("SMOTETomek",A84))),  "Hybrid",  IF(   AND(    OR(ISNUMBER(SEARCH("SMOTE",A84)),ISNUMBER(SEARCH("SVMSMOTE",A84)),ISNUMBER(SEARCH("RandomOverSampler",A84)),ISNUMBER(SEARCH("BorderlineSmote",A84))),    OR(ISNUMBER(SEARCH("RandomUnderSampler",A84)),ISNUMBER(SEARCH("ClusterCentroids",A84)),ISNUMBER(SEARCH("OneSidedSelection",A84)))   ),   "Over+Under",   IF(    OR(ISNUMBER(SEARCH("SMOTE",A84)),ISNUMBER(SEARCH("SVMSMOTE",A84)),ISNUMBER(SEARCH("RandomOverSampler",A84)),ISNUMBER(SEARCH("BorderlineSmote",A84))),    "Oversampling",    IF(     OR(ISNUMBER(SEARCH("RandomUnderSampler",A84)),ISNUMBER(SEARCH("ClusterCentroids",A84)),ISNUMBER(SEARCH("OneSidedSelection",A84))),     "Over+Under",     "Czysty"    )   )  ) )</f>
        <v>Oversampling</v>
      </c>
      <c r="C84" s="1" t="s">
        <v>74</v>
      </c>
      <c r="D84" s="1" t="n">
        <v>0.4155</v>
      </c>
      <c r="E84" s="1" t="n">
        <v>0.3838</v>
      </c>
      <c r="F84" s="1" t="n">
        <v>0.3917</v>
      </c>
      <c r="G84" s="1" t="n">
        <v>0.3896</v>
      </c>
      <c r="I84" s="1"/>
      <c r="J84" s="1"/>
      <c r="K84" s="1"/>
      <c r="L84" s="1" t="str">
        <f aca="false">IF(  OR(ISNUMBER(SEARCH("SMOTEENN",A84)),ISNUMBER(SEARCH("SMOTETomek",A84))),  "Hybrid",  IF(   AND(    OR(ISNUMBER(SEARCH("SMOTE",A84)),ISNUMBER(SEARCH("SVMSMOTE",A84)),ISNUMBER(SEARCH("RandomOverSampler",A84)),ISNUMBER(SEARCH("BorderlineSmote",A84))),    OR(ISNUMBER(SEARCH("RandomUnderSampler",A84)),ISNUMBER(SEARCH("ClusterCentroids",A84)),ISNUMBER(SEARCH("OneSidedSelection",A84)))   ),   "Over+Under",   IF(    OR(ISNUMBER(SEARCH("SMOTE",A84)),ISNUMBER(SEARCH("SVMSMOTE",A84)),ISNUMBER(SEARCH("RandomOverSampler",A84)),ISNUMBER(SEARCH("BorderlineSmote",A84))),    "Oversampling",    IF(     OR(ISNUMBER(SEARCH("RandomUnderSampler",A84)),ISNUMBER(SEARCH("ClusterCentroids",A84)),ISNUMBER(SEARCH("OneSidedSelection",A84))),     "Undersampler",     ""    )   )  ) )</f>
        <v>Oversampling</v>
      </c>
      <c r="M84" s="1"/>
      <c r="N84" s="1"/>
    </row>
    <row r="85" customFormat="false" ht="15" hidden="false" customHeight="false" outlineLevel="0" collapsed="false">
      <c r="A85" s="1" t="s">
        <v>81</v>
      </c>
      <c r="B85" s="1" t="str">
        <f aca="false">IF(  OR(ISNUMBER(SEARCH("SMOTEENN",A85)),ISNUMBER(SEARCH("SMOTETomek",A85))),  "Hybrid",  IF(   AND(    OR(ISNUMBER(SEARCH("SMOTE",A85)),ISNUMBER(SEARCH("SVMSMOTE",A85)),ISNUMBER(SEARCH("RandomOverSampler",A85)),ISNUMBER(SEARCH("BorderlineSmote",A85))),    OR(ISNUMBER(SEARCH("RandomUnderSampler",A85)),ISNUMBER(SEARCH("ClusterCentroids",A85)),ISNUMBER(SEARCH("OneSidedSelection",A85)))   ),   "Over+Under",   IF(    OR(ISNUMBER(SEARCH("SMOTE",A85)),ISNUMBER(SEARCH("SVMSMOTE",A85)),ISNUMBER(SEARCH("RandomOverSampler",A85)),ISNUMBER(SEARCH("BorderlineSmote",A85))),    "Oversampling",    IF(     OR(ISNUMBER(SEARCH("RandomUnderSampler",A85)),ISNUMBER(SEARCH("ClusterCentroids",A85)),ISNUMBER(SEARCH("OneSidedSelection",A85))),     "Over+Under",     "Czysty"    )   )  ) )</f>
        <v>Oversampling</v>
      </c>
      <c r="C85" s="1" t="s">
        <v>74</v>
      </c>
      <c r="D85" s="1" t="n">
        <v>0.4098</v>
      </c>
      <c r="E85" s="1" t="n">
        <v>0.372</v>
      </c>
      <c r="F85" s="1" t="n">
        <v>0.3767</v>
      </c>
      <c r="G85" s="1" t="n">
        <v>0.3805</v>
      </c>
      <c r="I85" s="1"/>
      <c r="J85" s="1"/>
      <c r="K85" s="1"/>
      <c r="L85" s="1" t="str">
        <f aca="false">IF(  OR(ISNUMBER(SEARCH("SMOTEENN",A85)),ISNUMBER(SEARCH("SMOTETomek",A85))),  "Hybrid",  IF(   AND(    OR(ISNUMBER(SEARCH("SMOTE",A85)),ISNUMBER(SEARCH("SVMSMOTE",A85)),ISNUMBER(SEARCH("RandomOverSampler",A85)),ISNUMBER(SEARCH("BorderlineSmote",A85))),    OR(ISNUMBER(SEARCH("RandomUnderSampler",A85)),ISNUMBER(SEARCH("ClusterCentroids",A85)),ISNUMBER(SEARCH("OneSidedSelection",A85)))   ),   "Over+Under",   IF(    OR(ISNUMBER(SEARCH("SMOTE",A85)),ISNUMBER(SEARCH("SVMSMOTE",A85)),ISNUMBER(SEARCH("RandomOverSampler",A85)),ISNUMBER(SEARCH("BorderlineSmote",A85))),    "Oversampling",    IF(     OR(ISNUMBER(SEARCH("RandomUnderSampler",A85)),ISNUMBER(SEARCH("ClusterCentroids",A85)),ISNUMBER(SEARCH("OneSidedSelection",A85))),     "Undersampler",     ""    )   )  ) )</f>
        <v>Oversampling</v>
      </c>
      <c r="M85" s="1"/>
      <c r="N85" s="1"/>
    </row>
    <row r="86" customFormat="false" ht="15" hidden="false" customHeight="false" outlineLevel="0" collapsed="false">
      <c r="A86" s="1" t="s">
        <v>123</v>
      </c>
      <c r="B86" s="1" t="str">
        <f aca="false">IF(  OR(ISNUMBER(SEARCH("SMOTEENN",A86)),ISNUMBER(SEARCH("SMOTETomek",A86))),  "Hybrid",  IF(   AND(    OR(ISNUMBER(SEARCH("SMOTE",A86)),ISNUMBER(SEARCH("SVMSMOTE",A86)),ISNUMBER(SEARCH("RandomOverSampler",A86)),ISNUMBER(SEARCH("BorderlineSmote",A86))),    OR(ISNUMBER(SEARCH("RandomUnderSampler",A86)),ISNUMBER(SEARCH("ClusterCentroids",A86)),ISNUMBER(SEARCH("OneSidedSelection",A86)))   ),   "Over+Under",   IF(    OR(ISNUMBER(SEARCH("SMOTE",A86)),ISNUMBER(SEARCH("SVMSMOTE",A86)),ISNUMBER(SEARCH("RandomOverSampler",A86)),ISNUMBER(SEARCH("BorderlineSmote",A86))),    "Oversampling",    IF(     OR(ISNUMBER(SEARCH("RandomUnderSampler",A86)),ISNUMBER(SEARCH("ClusterCentroids",A86)),ISNUMBER(SEARCH("OneSidedSelection",A86))),     "Over+Under",     "Czysty"    )   )  ) )</f>
        <v>Oversampling</v>
      </c>
      <c r="C86" s="1" t="s">
        <v>74</v>
      </c>
      <c r="D86" s="1" t="n">
        <v>0.3862</v>
      </c>
      <c r="E86" s="1" t="n">
        <v>0.3664</v>
      </c>
      <c r="F86" s="1" t="n">
        <v>0.3742</v>
      </c>
      <c r="G86" s="1" t="n">
        <v>0.375</v>
      </c>
      <c r="I86" s="1"/>
      <c r="J86" s="1"/>
      <c r="K86" s="1"/>
      <c r="L86" s="1" t="str">
        <f aca="false">IF(  OR(ISNUMBER(SEARCH("SMOTEENN",A86)),ISNUMBER(SEARCH("SMOTETomek",A86))),  "Hybrid",  IF(   AND(    OR(ISNUMBER(SEARCH("SMOTE",A86)),ISNUMBER(SEARCH("SVMSMOTE",A86)),ISNUMBER(SEARCH("RandomOverSampler",A86)),ISNUMBER(SEARCH("BorderlineSmote",A86))),    OR(ISNUMBER(SEARCH("RandomUnderSampler",A86)),ISNUMBER(SEARCH("ClusterCentroids",A86)),ISNUMBER(SEARCH("OneSidedSelection",A86)))   ),   "Over+Under",   IF(    OR(ISNUMBER(SEARCH("SMOTE",A86)),ISNUMBER(SEARCH("SVMSMOTE",A86)),ISNUMBER(SEARCH("RandomOverSampler",A86)),ISNUMBER(SEARCH("BorderlineSmote",A86))),    "Oversampling",    IF(     OR(ISNUMBER(SEARCH("RandomUnderSampler",A86)),ISNUMBER(SEARCH("ClusterCentroids",A86)),ISNUMBER(SEARCH("OneSidedSelection",A86))),     "Undersampler",     ""    )   )  ) )</f>
        <v>Oversampling</v>
      </c>
      <c r="M86" s="1"/>
      <c r="N86" s="1"/>
    </row>
    <row r="87" customFormat="false" ht="15" hidden="false" customHeight="false" outlineLevel="0" collapsed="false">
      <c r="A87" s="1" t="s">
        <v>79</v>
      </c>
      <c r="B87" s="1" t="str">
        <f aca="false">IF(  OR(ISNUMBER(SEARCH("SMOTEENN",A87)),ISNUMBER(SEARCH("SMOTETomek",A87))),  "Hybrid",  IF(   AND(    OR(ISNUMBER(SEARCH("SMOTE",A87)),ISNUMBER(SEARCH("SVMSMOTE",A87)),ISNUMBER(SEARCH("RandomOverSampler",A87)),ISNUMBER(SEARCH("BorderlineSmote",A87))),    OR(ISNUMBER(SEARCH("RandomUnderSampler",A87)),ISNUMBER(SEARCH("ClusterCentroids",A87)),ISNUMBER(SEARCH("OneSidedSelection",A87)))   ),   "Over+Under",   IF(    OR(ISNUMBER(SEARCH("SMOTE",A87)),ISNUMBER(SEARCH("SVMSMOTE",A87)),ISNUMBER(SEARCH("RandomOverSampler",A87)),ISNUMBER(SEARCH("BorderlineSmote",A87))),    "Oversampling",    IF(     OR(ISNUMBER(SEARCH("RandomUnderSampler",A87)),ISNUMBER(SEARCH("ClusterCentroids",A87)),ISNUMBER(SEARCH("OneSidedSelection",A87))),     "Over+Under",     "Czysty"    )   )  ) )</f>
        <v>Oversampling</v>
      </c>
      <c r="C87" s="1" t="s">
        <v>74</v>
      </c>
      <c r="D87" s="1" t="n">
        <v>0.4244</v>
      </c>
      <c r="E87" s="1" t="n">
        <v>0.3663</v>
      </c>
      <c r="F87" s="1" t="n">
        <v>0.3816</v>
      </c>
      <c r="G87" s="1" t="n">
        <v>0.3642</v>
      </c>
      <c r="I87" s="1"/>
      <c r="J87" s="1"/>
      <c r="K87" s="1"/>
      <c r="L87" s="1" t="str">
        <f aca="false">IF(  OR(ISNUMBER(SEARCH("SMOTEENN",A87)),ISNUMBER(SEARCH("SMOTETomek",A87))),  "Hybrid",  IF(   AND(    OR(ISNUMBER(SEARCH("SMOTE",A87)),ISNUMBER(SEARCH("SVMSMOTE",A87)),ISNUMBER(SEARCH("RandomOverSampler",A87)),ISNUMBER(SEARCH("BorderlineSmote",A87))),    OR(ISNUMBER(SEARCH("RandomUnderSampler",A87)),ISNUMBER(SEARCH("ClusterCentroids",A87)),ISNUMBER(SEARCH("OneSidedSelection",A87)))   ),   "Over+Under",   IF(    OR(ISNUMBER(SEARCH("SMOTE",A87)),ISNUMBER(SEARCH("SVMSMOTE",A87)),ISNUMBER(SEARCH("RandomOverSampler",A87)),ISNUMBER(SEARCH("BorderlineSmote",A87))),    "Oversampling",    IF(     OR(ISNUMBER(SEARCH("RandomUnderSampler",A87)),ISNUMBER(SEARCH("ClusterCentroids",A87)),ISNUMBER(SEARCH("OneSidedSelection",A87))),     "Undersampler",     ""    )   )  ) )</f>
        <v>Oversampling</v>
      </c>
      <c r="M87" s="1"/>
      <c r="N87" s="1"/>
    </row>
    <row r="88" customFormat="false" ht="15" hidden="false" customHeight="false" outlineLevel="0" collapsed="false">
      <c r="A88" s="1" t="s">
        <v>80</v>
      </c>
      <c r="B88" s="1" t="str">
        <f aca="false">IF(  OR(ISNUMBER(SEARCH("SMOTEENN",A88)),ISNUMBER(SEARCH("SMOTETomek",A88))),  "Hybrid",  IF(   AND(    OR(ISNUMBER(SEARCH("SMOTE",A88)),ISNUMBER(SEARCH("SVMSMOTE",A88)),ISNUMBER(SEARCH("RandomOverSampler",A88)),ISNUMBER(SEARCH("BorderlineSmote",A88))),    OR(ISNUMBER(SEARCH("RandomUnderSampler",A88)),ISNUMBER(SEARCH("ClusterCentroids",A88)),ISNUMBER(SEARCH("OneSidedSelection",A88)))   ),   "Over+Under",   IF(    OR(ISNUMBER(SEARCH("SMOTE",A88)),ISNUMBER(SEARCH("SVMSMOTE",A88)),ISNUMBER(SEARCH("RandomOverSampler",A88)),ISNUMBER(SEARCH("BorderlineSmote",A88))),    "Oversampling",    IF(     OR(ISNUMBER(SEARCH("RandomUnderSampler",A88)),ISNUMBER(SEARCH("ClusterCentroids",A88)),ISNUMBER(SEARCH("OneSidedSelection",A88))),     "Over+Under",     "Czysty"    )   )  ) )</f>
        <v>Hybrid</v>
      </c>
      <c r="C88" s="1" t="s">
        <v>74</v>
      </c>
      <c r="D88" s="1" t="n">
        <v>0.4111</v>
      </c>
      <c r="E88" s="1" t="n">
        <v>0.3601</v>
      </c>
      <c r="F88" s="1" t="n">
        <v>0.3646</v>
      </c>
      <c r="G88" s="1" t="n">
        <v>0.3732</v>
      </c>
      <c r="I88" s="1"/>
      <c r="J88" s="1"/>
      <c r="K88" s="1"/>
      <c r="L88" s="1" t="str">
        <f aca="false">IF(  OR(ISNUMBER(SEARCH("SMOTEENN",A88)),ISNUMBER(SEARCH("SMOTETomek",A88))),  "Hybrid",  IF(   AND(    OR(ISNUMBER(SEARCH("SMOTE",A88)),ISNUMBER(SEARCH("SVMSMOTE",A88)),ISNUMBER(SEARCH("RandomOverSampler",A88)),ISNUMBER(SEARCH("BorderlineSmote",A88))),    OR(ISNUMBER(SEARCH("RandomUnderSampler",A88)),ISNUMBER(SEARCH("ClusterCentroids",A88)),ISNUMBER(SEARCH("OneSidedSelection",A88)))   ),   "Over+Under",   IF(    OR(ISNUMBER(SEARCH("SMOTE",A88)),ISNUMBER(SEARCH("SVMSMOTE",A88)),ISNUMBER(SEARCH("RandomOverSampler",A88)),ISNUMBER(SEARCH("BorderlineSmote",A88))),    "Oversampling",    IF(     OR(ISNUMBER(SEARCH("RandomUnderSampler",A88)),ISNUMBER(SEARCH("ClusterCentroids",A88)),ISNUMBER(SEARCH("OneSidedSelection",A88))),     "Undersampler",     ""    )   )  ) )</f>
        <v>Hybrid</v>
      </c>
      <c r="M88" s="1"/>
      <c r="N88" s="1"/>
    </row>
    <row r="89" customFormat="false" ht="15" hidden="false" customHeight="false" outlineLevel="0" collapsed="false">
      <c r="A89" s="1" t="s">
        <v>84</v>
      </c>
      <c r="B89" s="1" t="str">
        <f aca="false">IF(  OR(ISNUMBER(SEARCH("SMOTEENN",A89)),ISNUMBER(SEARCH("SMOTETomek",A89))),  "Hybrid",  IF(   AND(    OR(ISNUMBER(SEARCH("SMOTE",A89)),ISNUMBER(SEARCH("SVMSMOTE",A89)),ISNUMBER(SEARCH("RandomOverSampler",A89)),ISNUMBER(SEARCH("BorderlineSmote",A89))),    OR(ISNUMBER(SEARCH("RandomUnderSampler",A89)),ISNUMBER(SEARCH("ClusterCentroids",A89)),ISNUMBER(SEARCH("OneSidedSelection",A89)))   ),   "Over+Under",   IF(    OR(ISNUMBER(SEARCH("SMOTE",A89)),ISNUMBER(SEARCH("SVMSMOTE",A89)),ISNUMBER(SEARCH("RandomOverSampler",A89)),ISNUMBER(SEARCH("BorderlineSmote",A89))),    "Oversampling",    IF(     OR(ISNUMBER(SEARCH("RandomUnderSampler",A89)),ISNUMBER(SEARCH("ClusterCentroids",A89)),ISNUMBER(SEARCH("OneSidedSelection",A89))),     "Over+Under",     "Czysty"    )   )  ) )</f>
        <v>Over+Under</v>
      </c>
      <c r="C89" s="1" t="s">
        <v>74</v>
      </c>
      <c r="D89" s="1" t="n">
        <v>0.4273</v>
      </c>
      <c r="E89" s="1" t="n">
        <v>0.3472</v>
      </c>
      <c r="F89" s="1" t="n">
        <v>0.3606</v>
      </c>
      <c r="G89" s="1" t="n">
        <v>0.3508</v>
      </c>
      <c r="I89" s="1"/>
      <c r="J89" s="1"/>
      <c r="K89" s="1"/>
      <c r="L89" s="1" t="str">
        <f aca="false">IF(  OR(ISNUMBER(SEARCH("SMOTEENN",A89)),ISNUMBER(SEARCH("SMOTETomek",A89))),  "Hybrid",  IF(   AND(    OR(ISNUMBER(SEARCH("SMOTE",A89)),ISNUMBER(SEARCH("SVMSMOTE",A89)),ISNUMBER(SEARCH("RandomOverSampler",A89)),ISNUMBER(SEARCH("BorderlineSmote",A89))),    OR(ISNUMBER(SEARCH("RandomUnderSampler",A89)),ISNUMBER(SEARCH("ClusterCentroids",A89)),ISNUMBER(SEARCH("OneSidedSelection",A89)))   ),   "Over+Under",   IF(    OR(ISNUMBER(SEARCH("SMOTE",A89)),ISNUMBER(SEARCH("SVMSMOTE",A89)),ISNUMBER(SEARCH("RandomOverSampler",A89)),ISNUMBER(SEARCH("BorderlineSmote",A89))),    "Oversampling",    IF(     OR(ISNUMBER(SEARCH("RandomUnderSampler",A89)),ISNUMBER(SEARCH("ClusterCentroids",A89)),ISNUMBER(SEARCH("OneSidedSelection",A89))),     "Undersampler",     ""    )   )  ) )</f>
        <v>Over+Under</v>
      </c>
      <c r="M89" s="1"/>
      <c r="N89" s="1"/>
    </row>
    <row r="90" customFormat="false" ht="15" hidden="false" customHeight="false" outlineLevel="0" collapsed="false">
      <c r="A90" s="1" t="s">
        <v>85</v>
      </c>
      <c r="B90" s="1" t="str">
        <f aca="false">IF(  OR(ISNUMBER(SEARCH("SMOTEENN",A90)),ISNUMBER(SEARCH("SMOTETomek",A90))),  "Hybrid",  IF(   AND(    OR(ISNUMBER(SEARCH("SMOTE",A90)),ISNUMBER(SEARCH("SVMSMOTE",A90)),ISNUMBER(SEARCH("RandomOverSampler",A90)),ISNUMBER(SEARCH("BorderlineSmote",A90))),    OR(ISNUMBER(SEARCH("RandomUnderSampler",A90)),ISNUMBER(SEARCH("ClusterCentroids",A90)),ISNUMBER(SEARCH("OneSidedSelection",A90)))   ),   "Over+Under",   IF(    OR(ISNUMBER(SEARCH("SMOTE",A90)),ISNUMBER(SEARCH("SVMSMOTE",A90)),ISNUMBER(SEARCH("RandomOverSampler",A90)),ISNUMBER(SEARCH("BorderlineSmote",A90))),    "Oversampling",    IF(     OR(ISNUMBER(SEARCH("RandomUnderSampler",A90)),ISNUMBER(SEARCH("ClusterCentroids",A90)),ISNUMBER(SEARCH("OneSidedSelection",A90))),     "Over+Under",     "Czysty"    )   )  ) )</f>
        <v>Over+Under</v>
      </c>
      <c r="C90" s="1" t="s">
        <v>74</v>
      </c>
      <c r="D90" s="1" t="n">
        <v>0.3215</v>
      </c>
      <c r="E90" s="1" t="n">
        <v>0.3196</v>
      </c>
      <c r="F90" s="1" t="n">
        <v>0.3304</v>
      </c>
      <c r="G90" s="1" t="n">
        <v>0.3543</v>
      </c>
      <c r="I90" s="1"/>
      <c r="J90" s="1"/>
      <c r="K90" s="1"/>
      <c r="L90" s="1" t="str">
        <f aca="false">IF(  OR(ISNUMBER(SEARCH("SMOTEENN",A90)),ISNUMBER(SEARCH("SMOTETomek",A90))),  "Hybrid",  IF(   AND(    OR(ISNUMBER(SEARCH("SMOTE",A90)),ISNUMBER(SEARCH("SVMSMOTE",A90)),ISNUMBER(SEARCH("RandomOverSampler",A90)),ISNUMBER(SEARCH("BorderlineSmote",A90))),    OR(ISNUMBER(SEARCH("RandomUnderSampler",A90)),ISNUMBER(SEARCH("ClusterCentroids",A90)),ISNUMBER(SEARCH("OneSidedSelection",A90)))   ),   "Over+Under",   IF(    OR(ISNUMBER(SEARCH("SMOTE",A90)),ISNUMBER(SEARCH("SVMSMOTE",A90)),ISNUMBER(SEARCH("RandomOverSampler",A90)),ISNUMBER(SEARCH("BorderlineSmote",A90))),    "Oversampling",    IF(     OR(ISNUMBER(SEARCH("RandomUnderSampler",A90)),ISNUMBER(SEARCH("ClusterCentroids",A90)),ISNUMBER(SEARCH("OneSidedSelection",A90))),     "Undersampler",     ""    )   )  ) )</f>
        <v>Over+Under</v>
      </c>
      <c r="M90" s="1"/>
      <c r="N90" s="1"/>
    </row>
    <row r="91" customFormat="false" ht="15" hidden="false" customHeight="false" outlineLevel="0" collapsed="false">
      <c r="A91" s="1" t="s">
        <v>83</v>
      </c>
      <c r="B91" s="1" t="str">
        <f aca="false">IF(  OR(ISNUMBER(SEARCH("SMOTEENN",A91)),ISNUMBER(SEARCH("SMOTETomek",A91))),  "Hybrid",  IF(   AND(    OR(ISNUMBER(SEARCH("SMOTE",A91)),ISNUMBER(SEARCH("SVMSMOTE",A91)),ISNUMBER(SEARCH("RandomOverSampler",A91)),ISNUMBER(SEARCH("BorderlineSmote",A91))),    OR(ISNUMBER(SEARCH("RandomUnderSampler",A91)),ISNUMBER(SEARCH("ClusterCentroids",A91)),ISNUMBER(SEARCH("OneSidedSelection",A91)))   ),   "Over+Under",   IF(    OR(ISNUMBER(SEARCH("SMOTE",A91)),ISNUMBER(SEARCH("SVMSMOTE",A91)),ISNUMBER(SEARCH("RandomOverSampler",A91)),ISNUMBER(SEARCH("BorderlineSmote",A91))),    "Oversampling",    IF(     OR(ISNUMBER(SEARCH("RandomUnderSampler",A91)),ISNUMBER(SEARCH("ClusterCentroids",A91)),ISNUMBER(SEARCH("OneSidedSelection",A91))),     "Over+Under",     "Czysty"    )   )  ) )</f>
        <v>Over+Under</v>
      </c>
      <c r="C91" s="1" t="s">
        <v>74</v>
      </c>
      <c r="D91" s="1" t="n">
        <v>0.3347</v>
      </c>
      <c r="E91" s="1" t="n">
        <v>0.3193</v>
      </c>
      <c r="F91" s="1" t="n">
        <v>0.3209</v>
      </c>
      <c r="G91" s="1" t="n">
        <v>0.3646</v>
      </c>
      <c r="I91" s="1"/>
      <c r="J91" s="1"/>
      <c r="K91" s="1"/>
      <c r="L91" s="1" t="str">
        <f aca="false">IF(  OR(ISNUMBER(SEARCH("SMOTEENN",A91)),ISNUMBER(SEARCH("SMOTETomek",A91))),  "Hybrid",  IF(   AND(    OR(ISNUMBER(SEARCH("SMOTE",A91)),ISNUMBER(SEARCH("SVMSMOTE",A91)),ISNUMBER(SEARCH("RandomOverSampler",A91)),ISNUMBER(SEARCH("BorderlineSmote",A91))),    OR(ISNUMBER(SEARCH("RandomUnderSampler",A91)),ISNUMBER(SEARCH("ClusterCentroids",A91)),ISNUMBER(SEARCH("OneSidedSelection",A91)))   ),   "Over+Under",   IF(    OR(ISNUMBER(SEARCH("SMOTE",A91)),ISNUMBER(SEARCH("SVMSMOTE",A91)),ISNUMBER(SEARCH("RandomOverSampler",A91)),ISNUMBER(SEARCH("BorderlineSmote",A91))),    "Oversampling",    IF(     OR(ISNUMBER(SEARCH("RandomUnderSampler",A91)),ISNUMBER(SEARCH("ClusterCentroids",A91)),ISNUMBER(SEARCH("OneSidedSelection",A91))),     "Undersampler",     ""    )   )  ) )</f>
        <v>Over+Under</v>
      </c>
      <c r="M91" s="1"/>
      <c r="N91" s="1"/>
    </row>
    <row r="92" customFormat="false" ht="15" hidden="false" customHeight="false" outlineLevel="0" collapsed="false">
      <c r="A92" s="1" t="s">
        <v>82</v>
      </c>
      <c r="B92" s="1" t="str">
        <f aca="false">IF(  OR(ISNUMBER(SEARCH("SMOTEENN",A92)),ISNUMBER(SEARCH("SMOTETomek",A92))),  "Hybrid",  IF(   AND(    OR(ISNUMBER(SEARCH("SMOTE",A92)),ISNUMBER(SEARCH("SVMSMOTE",A92)),ISNUMBER(SEARCH("RandomOverSampler",A92)),ISNUMBER(SEARCH("BorderlineSmote",A92))),    OR(ISNUMBER(SEARCH("RandomUnderSampler",A92)),ISNUMBER(SEARCH("ClusterCentroids",A92)),ISNUMBER(SEARCH("OneSidedSelection",A92)))   ),   "Over+Under",   IF(    OR(ISNUMBER(SEARCH("SMOTE",A92)),ISNUMBER(SEARCH("SVMSMOTE",A92)),ISNUMBER(SEARCH("RandomOverSampler",A92)),ISNUMBER(SEARCH("BorderlineSmote",A92))),    "Oversampling",    IF(     OR(ISNUMBER(SEARCH("RandomUnderSampler",A92)),ISNUMBER(SEARCH("ClusterCentroids",A92)),ISNUMBER(SEARCH("OneSidedSelection",A92))),     "Over+Under",     "Czysty"    )   )  ) )</f>
        <v>Over+Under</v>
      </c>
      <c r="C92" s="1" t="s">
        <v>74</v>
      </c>
      <c r="D92" s="1" t="n">
        <v>0.3246</v>
      </c>
      <c r="E92" s="1" t="n">
        <v>0.3175</v>
      </c>
      <c r="F92" s="1" t="n">
        <v>0.3282</v>
      </c>
      <c r="G92" s="1" t="n">
        <v>0.3548</v>
      </c>
      <c r="I92" s="1"/>
      <c r="J92" s="1"/>
      <c r="K92" s="1"/>
      <c r="L92" s="1" t="str">
        <f aca="false">IF(  OR(ISNUMBER(SEARCH("SMOTEENN",A92)),ISNUMBER(SEARCH("SMOTETomek",A92))),  "Hybrid",  IF(   AND(    OR(ISNUMBER(SEARCH("SMOTE",A92)),ISNUMBER(SEARCH("SVMSMOTE",A92)),ISNUMBER(SEARCH("RandomOverSampler",A92)),ISNUMBER(SEARCH("BorderlineSmote",A92))),    OR(ISNUMBER(SEARCH("RandomUnderSampler",A92)),ISNUMBER(SEARCH("ClusterCentroids",A92)),ISNUMBER(SEARCH("OneSidedSelection",A92)))   ),   "Over+Under",   IF(    OR(ISNUMBER(SEARCH("SMOTE",A92)),ISNUMBER(SEARCH("SVMSMOTE",A92)),ISNUMBER(SEARCH("RandomOverSampler",A92)),ISNUMBER(SEARCH("BorderlineSmote",A92))),    "Oversampling",    IF(     OR(ISNUMBER(SEARCH("RandomUnderSampler",A92)),ISNUMBER(SEARCH("ClusterCentroids",A92)),ISNUMBER(SEARCH("OneSidedSelection",A92))),     "Undersampler",     ""    )   )  ) )</f>
        <v>Over+Under</v>
      </c>
      <c r="M92" s="1"/>
      <c r="N92" s="1"/>
    </row>
    <row r="93" customFormat="false" ht="15" hidden="false" customHeight="false" outlineLevel="0" collapsed="false">
      <c r="A93" s="1" t="s">
        <v>125</v>
      </c>
      <c r="B93" s="1" t="str">
        <f aca="false">IF(  OR(ISNUMBER(SEARCH("SMOTEENN",A93)),ISNUMBER(SEARCH("SMOTETomek",A93))),  "Hybrid",  IF(   AND(    OR(ISNUMBER(SEARCH("SMOTE",A93)),ISNUMBER(SEARCH("SVMSMOTE",A93)),ISNUMBER(SEARCH("RandomOverSampler",A93)),ISNUMBER(SEARCH("BorderlineSmote",A93))),    OR(ISNUMBER(SEARCH("RandomUnderSampler",A93)),ISNUMBER(SEARCH("ClusterCentroids",A93)),ISNUMBER(SEARCH("OneSidedSelection",A93)))   ),   "Over+Under",   IF(    OR(ISNUMBER(SEARCH("SMOTE",A93)),ISNUMBER(SEARCH("SVMSMOTE",A93)),ISNUMBER(SEARCH("RandomOverSampler",A93)),ISNUMBER(SEARCH("BorderlineSmote",A93))),    "Oversampling",    IF(     OR(ISNUMBER(SEARCH("RandomUnderSampler",A93)),ISNUMBER(SEARCH("ClusterCentroids",A93)),ISNUMBER(SEARCH("OneSidedSelection",A93))),     "Over+Under",     "Czysty"    )   )  ) )</f>
        <v>Over+Under</v>
      </c>
      <c r="C93" s="1" t="s">
        <v>74</v>
      </c>
      <c r="D93" s="1" t="n">
        <v>0.3174</v>
      </c>
      <c r="E93" s="1" t="n">
        <v>0.3115</v>
      </c>
      <c r="F93" s="1" t="n">
        <v>0.3193</v>
      </c>
      <c r="G93" s="1" t="n">
        <v>0.3515</v>
      </c>
      <c r="I93" s="1"/>
      <c r="J93" s="1"/>
      <c r="K93" s="1"/>
      <c r="L93" s="1" t="str">
        <f aca="false">IF(  OR(ISNUMBER(SEARCH("SMOTEENN",A93)),ISNUMBER(SEARCH("SMOTETomek",A93))),  "Hybrid",  IF(   AND(    OR(ISNUMBER(SEARCH("SMOTE",A93)),ISNUMBER(SEARCH("SVMSMOTE",A93)),ISNUMBER(SEARCH("RandomOverSampler",A93)),ISNUMBER(SEARCH("BorderlineSmote",A93))),    OR(ISNUMBER(SEARCH("RandomUnderSampler",A93)),ISNUMBER(SEARCH("ClusterCentroids",A93)),ISNUMBER(SEARCH("OneSidedSelection",A93)))   ),   "Over+Under",   IF(    OR(ISNUMBER(SEARCH("SMOTE",A93)),ISNUMBER(SEARCH("SVMSMOTE",A93)),ISNUMBER(SEARCH("RandomOverSampler",A93)),ISNUMBER(SEARCH("BorderlineSmote",A93))),    "Oversampling",    IF(     OR(ISNUMBER(SEARCH("RandomUnderSampler",A93)),ISNUMBER(SEARCH("ClusterCentroids",A93)),ISNUMBER(SEARCH("OneSidedSelection",A93))),     "Undersampler",     ""    )   )  ) )</f>
        <v>Over+Under</v>
      </c>
      <c r="M93" s="1"/>
      <c r="N93" s="1"/>
    </row>
    <row r="94" customFormat="false" ht="15" hidden="false" customHeight="false" outlineLevel="0" collapsed="false">
      <c r="A94" s="1" t="s">
        <v>23</v>
      </c>
      <c r="B94" s="1" t="str">
        <f aca="false">IF(  OR(ISNUMBER(SEARCH("SMOTEENN",A94)),ISNUMBER(SEARCH("SMOTETomek",A94))),  "Hybrid",  IF(   AND(    OR(ISNUMBER(SEARCH("SMOTE",A94)),ISNUMBER(SEARCH("SVMSMOTE",A94)),ISNUMBER(SEARCH("RandomOverSampler",A94)),ISNUMBER(SEARCH("BorderlineSmote",A94))),    OR(ISNUMBER(SEARCH("RandomUnderSampler",A94)),ISNUMBER(SEARCH("ClusterCentroids",A94)),ISNUMBER(SEARCH("OneSidedSelection",A94)))   ),   "Over+Under",   IF(    OR(ISNUMBER(SEARCH("SMOTE",A94)),ISNUMBER(SEARCH("SVMSMOTE",A94)),ISNUMBER(SEARCH("RandomOverSampler",A94)),ISNUMBER(SEARCH("BorderlineSmote",A94))),    "Oversampling",    IF(     OR(ISNUMBER(SEARCH("RandomUnderSampler",A94)),ISNUMBER(SEARCH("ClusterCentroids",A94)),ISNUMBER(SEARCH("OneSidedSelection",A94))),     "Over+Under",     "Czysty"    )   )  ) )</f>
        <v>Czysty</v>
      </c>
      <c r="C94" s="1" t="s">
        <v>74</v>
      </c>
      <c r="D94" s="1" t="n">
        <v>0.376</v>
      </c>
      <c r="E94" s="1" t="n">
        <v>0.3091</v>
      </c>
      <c r="F94" s="1" t="n">
        <v>0.3214</v>
      </c>
      <c r="G94" s="1" t="n">
        <v>0.306</v>
      </c>
      <c r="I94" s="1"/>
      <c r="J94" s="1"/>
      <c r="K94" s="1"/>
      <c r="L94" s="1" t="str">
        <f aca="false">IF(  OR(ISNUMBER(SEARCH("SMOTEENN",A94)),ISNUMBER(SEARCH("SMOTETomek",A94))),  "Hybrid",  IF(   AND(    OR(ISNUMBER(SEARCH("SMOTE",A94)),ISNUMBER(SEARCH("SVMSMOTE",A94)),ISNUMBER(SEARCH("RandomOverSampler",A94)),ISNUMBER(SEARCH("BorderlineSmote",A94))),    OR(ISNUMBER(SEARCH("RandomUnderSampler",A94)),ISNUMBER(SEARCH("ClusterCentroids",A94)),ISNUMBER(SEARCH("OneSidedSelection",A94)))   ),   "Over+Under",   IF(    OR(ISNUMBER(SEARCH("SMOTE",A94)),ISNUMBER(SEARCH("SVMSMOTE",A94)),ISNUMBER(SEARCH("RandomOverSampler",A94)),ISNUMBER(SEARCH("BorderlineSmote",A94))),    "Oversampling",    IF(     OR(ISNUMBER(SEARCH("RandomUnderSampler",A94)),ISNUMBER(SEARCH("ClusterCentroids",A94)),ISNUMBER(SEARCH("OneSidedSelection",A94))),     "Undersampler",     ""    )   )  ) )</f>
        <v/>
      </c>
      <c r="M94" s="1"/>
      <c r="N94" s="1"/>
    </row>
    <row r="95" customFormat="false" ht="15" hidden="false" customHeight="false" outlineLevel="0" collapsed="false">
      <c r="A95" s="1" t="s">
        <v>124</v>
      </c>
      <c r="B95" s="1" t="str">
        <f aca="false">IF(  OR(ISNUMBER(SEARCH("SMOTEENN",A95)),ISNUMBER(SEARCH("SMOTETomek",A95))),  "Hybrid",  IF(   AND(    OR(ISNUMBER(SEARCH("SMOTE",A95)),ISNUMBER(SEARCH("SVMSMOTE",A95)),ISNUMBER(SEARCH("RandomOverSampler",A95)),ISNUMBER(SEARCH("BorderlineSmote",A95))),    OR(ISNUMBER(SEARCH("RandomUnderSampler",A95)),ISNUMBER(SEARCH("ClusterCentroids",A95)),ISNUMBER(SEARCH("OneSidedSelection",A95)))   ),   "Over+Under",   IF(    OR(ISNUMBER(SEARCH("SMOTE",A95)),ISNUMBER(SEARCH("SVMSMOTE",A95)),ISNUMBER(SEARCH("RandomOverSampler",A95)),ISNUMBER(SEARCH("BorderlineSmote",A95))),    "Oversampling",    IF(     OR(ISNUMBER(SEARCH("RandomUnderSampler",A95)),ISNUMBER(SEARCH("ClusterCentroids",A95)),ISNUMBER(SEARCH("OneSidedSelection",A95))),     "Over+Under",     "Czysty"    )   )  ) )</f>
        <v>Over+Under</v>
      </c>
      <c r="C95" s="1" t="s">
        <v>74</v>
      </c>
      <c r="D95" s="1" t="n">
        <v>0.301</v>
      </c>
      <c r="E95" s="1" t="n">
        <v>0.3006</v>
      </c>
      <c r="F95" s="1" t="n">
        <v>0.3158</v>
      </c>
      <c r="G95" s="1" t="n">
        <v>0.3316</v>
      </c>
      <c r="I95" s="1"/>
      <c r="J95" s="1"/>
      <c r="K95" s="1"/>
      <c r="L95" s="1" t="str">
        <f aca="false">IF(  OR(ISNUMBER(SEARCH("SMOTEENN",A95)),ISNUMBER(SEARCH("SMOTETomek",A95))),  "Hybrid",  IF(   AND(    OR(ISNUMBER(SEARCH("SMOTE",A95)),ISNUMBER(SEARCH("SVMSMOTE",A95)),ISNUMBER(SEARCH("RandomOverSampler",A95)),ISNUMBER(SEARCH("BorderlineSmote",A95))),    OR(ISNUMBER(SEARCH("RandomUnderSampler",A95)),ISNUMBER(SEARCH("ClusterCentroids",A95)),ISNUMBER(SEARCH("OneSidedSelection",A95)))   ),   "Over+Under",   IF(    OR(ISNUMBER(SEARCH("SMOTE",A95)),ISNUMBER(SEARCH("SVMSMOTE",A95)),ISNUMBER(SEARCH("RandomOverSampler",A95)),ISNUMBER(SEARCH("BorderlineSmote",A95))),    "Oversampling",    IF(     OR(ISNUMBER(SEARCH("RandomUnderSampler",A95)),ISNUMBER(SEARCH("ClusterCentroids",A95)),ISNUMBER(SEARCH("OneSidedSelection",A95))),     "Undersampler",     ""    )   )  ) )</f>
        <v>Over+Under</v>
      </c>
      <c r="M95" s="1"/>
      <c r="N95" s="1"/>
    </row>
    <row r="96" customFormat="false" ht="15" hidden="false" customHeight="false" outlineLevel="0" collapsed="false">
      <c r="A96" s="1" t="s">
        <v>88</v>
      </c>
      <c r="B96" s="1" t="str">
        <f aca="false">IF(  OR(ISNUMBER(SEARCH("SMOTEENN",A96)),ISNUMBER(SEARCH("SMOTETomek",A96))),  "Hybrid",  IF(   AND(    OR(ISNUMBER(SEARCH("SMOTE",A96)),ISNUMBER(SEARCH("SVMSMOTE",A96)),ISNUMBER(SEARCH("RandomOverSampler",A96)),ISNUMBER(SEARCH("BorderlineSmote",A96))),    OR(ISNUMBER(SEARCH("RandomUnderSampler",A96)),ISNUMBER(SEARCH("ClusterCentroids",A96)),ISNUMBER(SEARCH("OneSidedSelection",A96)))   ),   "Over+Under",   IF(    OR(ISNUMBER(SEARCH("SMOTE",A96)),ISNUMBER(SEARCH("SVMSMOTE",A96)),ISNUMBER(SEARCH("RandomOverSampler",A96)),ISNUMBER(SEARCH("BorderlineSmote",A96))),    "Oversampling",    IF(     OR(ISNUMBER(SEARCH("RandomUnderSampler",A96)),ISNUMBER(SEARCH("ClusterCentroids",A96)),ISNUMBER(SEARCH("OneSidedSelection",A96))),     "Over+Under",     "Czysty"    )   )  ) )</f>
        <v>Over+Under</v>
      </c>
      <c r="C96" s="1" t="s">
        <v>74</v>
      </c>
      <c r="D96" s="1" t="n">
        <v>0.3553</v>
      </c>
      <c r="E96" s="1" t="n">
        <v>0.2988</v>
      </c>
      <c r="F96" s="1" t="n">
        <v>0.3165</v>
      </c>
      <c r="G96" s="1" t="n">
        <v>0.3111</v>
      </c>
      <c r="I96" s="1"/>
      <c r="J96" s="1"/>
      <c r="K96" s="1"/>
      <c r="L96" s="1" t="str">
        <f aca="false">IF(  OR(ISNUMBER(SEARCH("SMOTEENN",A96)),ISNUMBER(SEARCH("SMOTETomek",A96))),  "Hybrid",  IF(   AND(    OR(ISNUMBER(SEARCH("SMOTE",A96)),ISNUMBER(SEARCH("SVMSMOTE",A96)),ISNUMBER(SEARCH("RandomOverSampler",A96)),ISNUMBER(SEARCH("BorderlineSmote",A96))),    OR(ISNUMBER(SEARCH("RandomUnderSampler",A96)),ISNUMBER(SEARCH("ClusterCentroids",A96)),ISNUMBER(SEARCH("OneSidedSelection",A96)))   ),   "Over+Under",   IF(    OR(ISNUMBER(SEARCH("SMOTE",A96)),ISNUMBER(SEARCH("SVMSMOTE",A96)),ISNUMBER(SEARCH("RandomOverSampler",A96)),ISNUMBER(SEARCH("BorderlineSmote",A96))),    "Oversampling",    IF(     OR(ISNUMBER(SEARCH("RandomUnderSampler",A96)),ISNUMBER(SEARCH("ClusterCentroids",A96)),ISNUMBER(SEARCH("OneSidedSelection",A96))),     "Undersampler",     ""    )   )  ) )</f>
        <v>Over+Under</v>
      </c>
      <c r="M96" s="1"/>
      <c r="N96" s="1"/>
    </row>
    <row r="97" customFormat="false" ht="15" hidden="false" customHeight="false" outlineLevel="0" collapsed="false">
      <c r="A97" s="1" t="s">
        <v>86</v>
      </c>
      <c r="B97" s="1" t="str">
        <f aca="false">IF(  OR(ISNUMBER(SEARCH("SMOTEENN",A97)),ISNUMBER(SEARCH("SMOTETomek",A97))),  "Hybrid",  IF(   AND(    OR(ISNUMBER(SEARCH("SMOTE",A97)),ISNUMBER(SEARCH("SVMSMOTE",A97)),ISNUMBER(SEARCH("RandomOverSampler",A97)),ISNUMBER(SEARCH("BorderlineSmote",A97))),    OR(ISNUMBER(SEARCH("RandomUnderSampler",A97)),ISNUMBER(SEARCH("ClusterCentroids",A97)),ISNUMBER(SEARCH("OneSidedSelection",A97)))   ),   "Over+Under",   IF(    OR(ISNUMBER(SEARCH("SMOTE",A97)),ISNUMBER(SEARCH("SVMSMOTE",A97)),ISNUMBER(SEARCH("RandomOverSampler",A97)),ISNUMBER(SEARCH("BorderlineSmote",A97))),    "Oversampling",    IF(     OR(ISNUMBER(SEARCH("RandomUnderSampler",A97)),ISNUMBER(SEARCH("ClusterCentroids",A97)),ISNUMBER(SEARCH("OneSidedSelection",A97))),     "Over+Under",     "Czysty"    )   )  ) )</f>
        <v>Over+Under</v>
      </c>
      <c r="C97" s="1" t="s">
        <v>74</v>
      </c>
      <c r="D97" s="1" t="n">
        <v>0.2982</v>
      </c>
      <c r="E97" s="1" t="n">
        <v>0.283</v>
      </c>
      <c r="F97" s="1" t="n">
        <v>0.3049</v>
      </c>
      <c r="G97" s="1" t="n">
        <v>0.3195</v>
      </c>
      <c r="I97" s="1"/>
      <c r="J97" s="1"/>
      <c r="K97" s="1"/>
      <c r="L97" s="1" t="str">
        <f aca="false">IF(  OR(ISNUMBER(SEARCH("SMOTEENN",A97)),ISNUMBER(SEARCH("SMOTETomek",A97))),  "Hybrid",  IF(   AND(    OR(ISNUMBER(SEARCH("SMOTE",A97)),ISNUMBER(SEARCH("SVMSMOTE",A97)),ISNUMBER(SEARCH("RandomOverSampler",A97)),ISNUMBER(SEARCH("BorderlineSmote",A97))),    OR(ISNUMBER(SEARCH("RandomUnderSampler",A97)),ISNUMBER(SEARCH("ClusterCentroids",A97)),ISNUMBER(SEARCH("OneSidedSelection",A97)))   ),   "Over+Under",   IF(    OR(ISNUMBER(SEARCH("SMOTE",A97)),ISNUMBER(SEARCH("SVMSMOTE",A97)),ISNUMBER(SEARCH("RandomOverSampler",A97)),ISNUMBER(SEARCH("BorderlineSmote",A97))),    "Oversampling",    IF(     OR(ISNUMBER(SEARCH("RandomUnderSampler",A97)),ISNUMBER(SEARCH("ClusterCentroids",A97)),ISNUMBER(SEARCH("OneSidedSelection",A97))),     "Undersampler",     ""    )   )  ) )</f>
        <v>Over+Under</v>
      </c>
      <c r="M97" s="1"/>
      <c r="N97" s="1"/>
    </row>
    <row r="98" customFormat="false" ht="15" hidden="false" customHeight="false" outlineLevel="0" collapsed="false">
      <c r="A98" s="1" t="s">
        <v>87</v>
      </c>
      <c r="B98" s="1" t="str">
        <f aca="false">IF(  OR(ISNUMBER(SEARCH("SMOTEENN",A98)),ISNUMBER(SEARCH("SMOTETomek",A98))),  "Hybrid",  IF(   AND(    OR(ISNUMBER(SEARCH("SMOTE",A98)),ISNUMBER(SEARCH("SVMSMOTE",A98)),ISNUMBER(SEARCH("RandomOverSampler",A98)),ISNUMBER(SEARCH("BorderlineSmote",A98))),    OR(ISNUMBER(SEARCH("RandomUnderSampler",A98)),ISNUMBER(SEARCH("ClusterCentroids",A98)),ISNUMBER(SEARCH("OneSidedSelection",A98)))   ),   "Over+Under",   IF(    OR(ISNUMBER(SEARCH("SMOTE",A98)),ISNUMBER(SEARCH("SVMSMOTE",A98)),ISNUMBER(SEARCH("RandomOverSampler",A98)),ISNUMBER(SEARCH("BorderlineSmote",A98))),    "Oversampling",    IF(     OR(ISNUMBER(SEARCH("RandomUnderSampler",A98)),ISNUMBER(SEARCH("ClusterCentroids",A98)),ISNUMBER(SEARCH("OneSidedSelection",A98))),     "Over+Under",     "Czysty"    )   )  ) )</f>
        <v>Hybrid</v>
      </c>
      <c r="C98" s="1" t="s">
        <v>74</v>
      </c>
      <c r="D98" s="1" t="n">
        <v>0.1894</v>
      </c>
      <c r="E98" s="1" t="n">
        <v>0.2084</v>
      </c>
      <c r="F98" s="1" t="n">
        <v>0.241</v>
      </c>
      <c r="G98" s="1" t="n">
        <v>0.2862</v>
      </c>
      <c r="I98" s="1"/>
      <c r="J98" s="1"/>
      <c r="K98" s="1"/>
      <c r="L98" s="1" t="str">
        <f aca="false">IF(  OR(ISNUMBER(SEARCH("SMOTEENN",A98)),ISNUMBER(SEARCH("SMOTETomek",A98))),  "Hybrid",  IF(   AND(    OR(ISNUMBER(SEARCH("SMOTE",A98)),ISNUMBER(SEARCH("SVMSMOTE",A98)),ISNUMBER(SEARCH("RandomOverSampler",A98)),ISNUMBER(SEARCH("BorderlineSmote",A98))),    OR(ISNUMBER(SEARCH("RandomUnderSampler",A98)),ISNUMBER(SEARCH("ClusterCentroids",A98)),ISNUMBER(SEARCH("OneSidedSelection",A98)))   ),   "Over+Under",   IF(    OR(ISNUMBER(SEARCH("SMOTE",A98)),ISNUMBER(SEARCH("SVMSMOTE",A98)),ISNUMBER(SEARCH("RandomOverSampler",A98)),ISNUMBER(SEARCH("BorderlineSmote",A98))),    "Oversampling",    IF(     OR(ISNUMBER(SEARCH("RandomUnderSampler",A98)),ISNUMBER(SEARCH("ClusterCentroids",A98)),ISNUMBER(SEARCH("OneSidedSelection",A98))),     "Undersampler",     ""    )   )  ) )</f>
        <v>Hybrid</v>
      </c>
      <c r="M98" s="1"/>
      <c r="N98" s="1"/>
    </row>
    <row r="99" customFormat="false" ht="15" hidden="false" customHeight="false" outlineLevel="0" collapsed="false">
      <c r="L99" s="1" t="str">
        <f aca="false">IF(  OR(ISNUMBER(SEARCH("SMOTEENN",A99)),ISNUMBER(SEARCH("SMOTETomek",A99))),  "Hybrid",  IF(   AND(    OR(ISNUMBER(SEARCH("SMOTE",A99)),ISNUMBER(SEARCH("SVMSMOTE",A99)),ISNUMBER(SEARCH("RandomOverSampler",A99)),ISNUMBER(SEARCH("BorderlineSmote",A99))),    OR(ISNUMBER(SEARCH("RandomUnderSampler",A99)),ISNUMBER(SEARCH("ClusterCentroids",A99)),ISNUMBER(SEARCH("OneSidedSelection",A99)))   ),   "Over+Under",   IF(    OR(ISNUMBER(SEARCH("SMOTE",A99)),ISNUMBER(SEARCH("SVMSMOTE",A99)),ISNUMBER(SEARCH("RandomOverSampler",A99)),ISNUMBER(SEARCH("BorderlineSmote",A99))),    "Oversampling",    IF(     OR(ISNUMBER(SEARCH("RandomUnderSampler",A99)),ISNUMBER(SEARCH("ClusterCentroids",A99)),ISNUMBER(SEARCH("OneSidedSelection",A99))),     "Undersampler",     ""    )   )  ) )</f>
        <v/>
      </c>
    </row>
    <row r="100" customFormat="false" ht="15" hidden="false" customHeight="false" outlineLevel="0" collapsed="false">
      <c r="A100" s="2" t="s">
        <v>26</v>
      </c>
      <c r="B100" s="2"/>
      <c r="C100" s="2"/>
      <c r="D100" s="2"/>
      <c r="E100" s="2"/>
      <c r="F100" s="2"/>
      <c r="G100" s="2"/>
      <c r="L100" s="1" t="str">
        <f aca="false">IF(  OR(ISNUMBER(SEARCH("SMOTEENN",A100)),ISNUMBER(SEARCH("SMOTETomek",A100))),  "Hybrid",  IF(   AND(    OR(ISNUMBER(SEARCH("SMOTE",A100)),ISNUMBER(SEARCH("SVMSMOTE",A100)),ISNUMBER(SEARCH("RandomOverSampler",A100)),ISNUMBER(SEARCH("BorderlineSmote",A100))),    OR(ISNUMBER(SEARCH("RandomUnderSampler",A100)),ISNUMBER(SEARCH("ClusterCentroids",A100)),ISNUMBER(SEARCH("OneSidedSelection",A100)))   ),   "Over+Under",   IF(    OR(ISNUMBER(SEARCH("SMOTE",A100)),ISNUMBER(SEARCH("SVMSMOTE",A100)),ISNUMBER(SEARCH("RandomOverSampler",A100)),ISNUMBER(SEARCH("BorderlineSmote",A100))),    "Oversampling",    IF(     OR(ISNUMBER(SEARCH("RandomUnderSampler",A100)),ISNUMBER(SEARCH("ClusterCentroids",A100)),ISNUMBER(SEARCH("OneSidedSelection",A100))),     "Undersampler",     ""    )   )  ) )</f>
        <v/>
      </c>
    </row>
    <row r="101" customFormat="false" ht="15" hidden="false" customHeight="false" outlineLevel="0" collapsed="false">
      <c r="A101" s="4" t="s">
        <v>2</v>
      </c>
      <c r="B101" s="4" t="s">
        <v>4</v>
      </c>
      <c r="C101" s="4" t="s">
        <v>5</v>
      </c>
      <c r="D101" s="4" t="s">
        <v>6</v>
      </c>
      <c r="E101" s="4" t="s">
        <v>127</v>
      </c>
      <c r="F101" s="4" t="s">
        <v>9</v>
      </c>
      <c r="G101" s="4" t="s">
        <v>10</v>
      </c>
      <c r="L101" s="1" t="str">
        <f aca="false">IF(  OR(ISNUMBER(SEARCH("SMOTEENN",A101)),ISNUMBER(SEARCH("SMOTETomek",A101))),  "Hybrid",  IF(   AND(    OR(ISNUMBER(SEARCH("SMOTE",A101)),ISNUMBER(SEARCH("SVMSMOTE",A101)),ISNUMBER(SEARCH("RandomOverSampler",A101)),ISNUMBER(SEARCH("BorderlineSmote",A101))),    OR(ISNUMBER(SEARCH("RandomUnderSampler",A101)),ISNUMBER(SEARCH("ClusterCentroids",A101)),ISNUMBER(SEARCH("OneSidedSelection",A101)))   ),   "Over+Under",   IF(    OR(ISNUMBER(SEARCH("SMOTE",A101)),ISNUMBER(SEARCH("SVMSMOTE",A101)),ISNUMBER(SEARCH("RandomOverSampler",A101)),ISNUMBER(SEARCH("BorderlineSmote",A101))),    "Oversampling",    IF(     OR(ISNUMBER(SEARCH("RandomUnderSampler",A101)),ISNUMBER(SEARCH("ClusterCentroids",A101)),ISNUMBER(SEARCH("OneSidedSelection",A101))),     "Undersampler",     ""    )   )  ) )</f>
        <v/>
      </c>
    </row>
    <row r="102" customFormat="false" ht="15" hidden="false" customHeight="false" outlineLevel="0" collapsed="false">
      <c r="A102" s="1" t="s">
        <v>79</v>
      </c>
      <c r="B102" s="1" t="str">
        <f aca="false">IF(  OR(ISNUMBER(SEARCH("SMOTEENN",A102)),ISNUMBER(SEARCH("SMOTETomek",A102))),  "Hybrid",  IF(   AND(    OR(ISNUMBER(SEARCH("SMOTE",A102)),ISNUMBER(SEARCH("SVMSMOTE",A102)),ISNUMBER(SEARCH("RandomOverSampler",A102)),ISNUMBER(SEARCH("BorderlineSmote",A102))),    OR(ISNUMBER(SEARCH("RandomUnderSampler",A102)),ISNUMBER(SEARCH("ClusterCentroids",A102)),ISNUMBER(SEARCH("OneSidedSelection",A102)))   ),   "Over+Under",   IF(    OR(ISNUMBER(SEARCH("SMOTE",A102)),ISNUMBER(SEARCH("SVMSMOTE",A102)),ISNUMBER(SEARCH("RandomOverSampler",A102)),ISNUMBER(SEARCH("BorderlineSmote",A102))),    "Oversampling",    IF(     OR(ISNUMBER(SEARCH("RandomUnderSampler",A102)),ISNUMBER(SEARCH("ClusterCentroids",A102)),ISNUMBER(SEARCH("OneSidedSelection",A102))),     "Over+Under",     "Czysty"    )   )  ) )</f>
        <v>Oversampling</v>
      </c>
      <c r="C102" s="1" t="s">
        <v>14</v>
      </c>
      <c r="D102" s="1" t="n">
        <v>0.4215</v>
      </c>
      <c r="E102" s="1" t="n">
        <v>0.3642</v>
      </c>
      <c r="F102" s="1" t="n">
        <v>0.4333</v>
      </c>
      <c r="G102" s="1" t="n">
        <v>0.3647</v>
      </c>
      <c r="I102" s="1"/>
      <c r="J102" s="1"/>
      <c r="K102" s="1"/>
      <c r="L102" s="1" t="str">
        <f aca="false">IF(  OR(ISNUMBER(SEARCH("SMOTEENN",A102)),ISNUMBER(SEARCH("SMOTETomek",A102))),  "Hybrid",  IF(   AND(    OR(ISNUMBER(SEARCH("SMOTE",A102)),ISNUMBER(SEARCH("SVMSMOTE",A102)),ISNUMBER(SEARCH("RandomOverSampler",A102)),ISNUMBER(SEARCH("BorderlineSmote",A102))),    OR(ISNUMBER(SEARCH("RandomUnderSampler",A102)),ISNUMBER(SEARCH("ClusterCentroids",A102)),ISNUMBER(SEARCH("OneSidedSelection",A102)))   ),   "Over+Under",   IF(    OR(ISNUMBER(SEARCH("SMOTE",A102)),ISNUMBER(SEARCH("SVMSMOTE",A102)),ISNUMBER(SEARCH("RandomOverSampler",A102)),ISNUMBER(SEARCH("BorderlineSmote",A102))),    "Oversampling",    IF(     OR(ISNUMBER(SEARCH("RandomUnderSampler",A102)),ISNUMBER(SEARCH("ClusterCentroids",A102)),ISNUMBER(SEARCH("OneSidedSelection",A102))),     "Undersampler",     ""    )   )  ) )</f>
        <v>Oversampling</v>
      </c>
      <c r="M102" s="1"/>
      <c r="N102" s="1"/>
    </row>
    <row r="103" customFormat="false" ht="15" hidden="false" customHeight="false" outlineLevel="0" collapsed="false">
      <c r="A103" s="1" t="s">
        <v>88</v>
      </c>
      <c r="B103" s="1" t="str">
        <f aca="false">IF(  OR(ISNUMBER(SEARCH("SMOTEENN",A103)),ISNUMBER(SEARCH("SMOTETomek",A103))),  "Hybrid",  IF(   AND(    OR(ISNUMBER(SEARCH("SMOTE",A103)),ISNUMBER(SEARCH("SVMSMOTE",A103)),ISNUMBER(SEARCH("RandomOverSampler",A103)),ISNUMBER(SEARCH("BorderlineSmote",A103))),    OR(ISNUMBER(SEARCH("RandomUnderSampler",A103)),ISNUMBER(SEARCH("ClusterCentroids",A103)),ISNUMBER(SEARCH("OneSidedSelection",A103)))   ),   "Over+Under",   IF(    OR(ISNUMBER(SEARCH("SMOTE",A103)),ISNUMBER(SEARCH("SVMSMOTE",A103)),ISNUMBER(SEARCH("RandomOverSampler",A103)),ISNUMBER(SEARCH("BorderlineSmote",A103))),    "Oversampling",    IF(     OR(ISNUMBER(SEARCH("RandomUnderSampler",A103)),ISNUMBER(SEARCH("ClusterCentroids",A103)),ISNUMBER(SEARCH("OneSidedSelection",A103))),     "Over+Under",     "Czysty"    )   )  ) )</f>
        <v>Over+Under</v>
      </c>
      <c r="C103" s="1" t="s">
        <v>14</v>
      </c>
      <c r="D103" s="1" t="n">
        <v>0.4433</v>
      </c>
      <c r="E103" s="1" t="n">
        <v>0.35</v>
      </c>
      <c r="F103" s="1" t="n">
        <v>0.3942</v>
      </c>
      <c r="G103" s="1" t="n">
        <v>0.3548</v>
      </c>
      <c r="I103" s="1"/>
      <c r="J103" s="1"/>
      <c r="K103" s="1"/>
      <c r="L103" s="1" t="str">
        <f aca="false">IF(  OR(ISNUMBER(SEARCH("SMOTEENN",A103)),ISNUMBER(SEARCH("SMOTETomek",A103))),  "Hybrid",  IF(   AND(    OR(ISNUMBER(SEARCH("SMOTE",A103)),ISNUMBER(SEARCH("SVMSMOTE",A103)),ISNUMBER(SEARCH("RandomOverSampler",A103)),ISNUMBER(SEARCH("BorderlineSmote",A103))),    OR(ISNUMBER(SEARCH("RandomUnderSampler",A103)),ISNUMBER(SEARCH("ClusterCentroids",A103)),ISNUMBER(SEARCH("OneSidedSelection",A103)))   ),   "Over+Under",   IF(    OR(ISNUMBER(SEARCH("SMOTE",A103)),ISNUMBER(SEARCH("SVMSMOTE",A103)),ISNUMBER(SEARCH("RandomOverSampler",A103)),ISNUMBER(SEARCH("BorderlineSmote",A103))),    "Oversampling",    IF(     OR(ISNUMBER(SEARCH("RandomUnderSampler",A103)),ISNUMBER(SEARCH("ClusterCentroids",A103)),ISNUMBER(SEARCH("OneSidedSelection",A103))),     "Undersampler",     ""    )   )  ) )</f>
        <v>Over+Under</v>
      </c>
      <c r="M103" s="1"/>
      <c r="N103" s="1"/>
    </row>
    <row r="104" customFormat="false" ht="15" hidden="false" customHeight="false" outlineLevel="0" collapsed="false">
      <c r="A104" s="1" t="s">
        <v>81</v>
      </c>
      <c r="B104" s="1" t="str">
        <f aca="false">IF(  OR(ISNUMBER(SEARCH("SMOTEENN",A104)),ISNUMBER(SEARCH("SMOTETomek",A104))),  "Hybrid",  IF(   AND(    OR(ISNUMBER(SEARCH("SMOTE",A104)),ISNUMBER(SEARCH("SVMSMOTE",A104)),ISNUMBER(SEARCH("RandomOverSampler",A104)),ISNUMBER(SEARCH("BorderlineSmote",A104))),    OR(ISNUMBER(SEARCH("RandomUnderSampler",A104)),ISNUMBER(SEARCH("ClusterCentroids",A104)),ISNUMBER(SEARCH("OneSidedSelection",A104)))   ),   "Over+Under",   IF(    OR(ISNUMBER(SEARCH("SMOTE",A104)),ISNUMBER(SEARCH("SVMSMOTE",A104)),ISNUMBER(SEARCH("RandomOverSampler",A104)),ISNUMBER(SEARCH("BorderlineSmote",A104))),    "Oversampling",    IF(     OR(ISNUMBER(SEARCH("RandomUnderSampler",A104)),ISNUMBER(SEARCH("ClusterCentroids",A104)),ISNUMBER(SEARCH("OneSidedSelection",A104))),     "Over+Under",     "Czysty"    )   )  ) )</f>
        <v>Oversampling</v>
      </c>
      <c r="C104" s="1" t="s">
        <v>14</v>
      </c>
      <c r="D104" s="1" t="n">
        <v>0.451</v>
      </c>
      <c r="E104" s="1" t="n">
        <v>0.3482</v>
      </c>
      <c r="F104" s="1" t="n">
        <v>0.3892</v>
      </c>
      <c r="G104" s="1" t="n">
        <v>0.3529</v>
      </c>
      <c r="I104" s="1"/>
      <c r="J104" s="1"/>
      <c r="K104" s="1"/>
      <c r="L104" s="1" t="str">
        <f aca="false">IF(  OR(ISNUMBER(SEARCH("SMOTEENN",A104)),ISNUMBER(SEARCH("SMOTETomek",A104))),  "Hybrid",  IF(   AND(    OR(ISNUMBER(SEARCH("SMOTE",A104)),ISNUMBER(SEARCH("SVMSMOTE",A104)),ISNUMBER(SEARCH("RandomOverSampler",A104)),ISNUMBER(SEARCH("BorderlineSmote",A104))),    OR(ISNUMBER(SEARCH("RandomUnderSampler",A104)),ISNUMBER(SEARCH("ClusterCentroids",A104)),ISNUMBER(SEARCH("OneSidedSelection",A104)))   ),   "Over+Under",   IF(    OR(ISNUMBER(SEARCH("SMOTE",A104)),ISNUMBER(SEARCH("SVMSMOTE",A104)),ISNUMBER(SEARCH("RandomOverSampler",A104)),ISNUMBER(SEARCH("BorderlineSmote",A104))),    "Oversampling",    IF(     OR(ISNUMBER(SEARCH("RandomUnderSampler",A104)),ISNUMBER(SEARCH("ClusterCentroids",A104)),ISNUMBER(SEARCH("OneSidedSelection",A104))),     "Undersampler",     ""    )   )  ) )</f>
        <v>Oversampling</v>
      </c>
      <c r="M104" s="1"/>
      <c r="N104" s="1"/>
    </row>
    <row r="105" customFormat="false" ht="15" hidden="false" customHeight="false" outlineLevel="0" collapsed="false">
      <c r="A105" s="1" t="s">
        <v>126</v>
      </c>
      <c r="B105" s="1" t="str">
        <f aca="false">IF(  OR(ISNUMBER(SEARCH("SMOTEENN",A105)),ISNUMBER(SEARCH("SMOTETomek",A105))),  "Hybrid",  IF(   AND(    OR(ISNUMBER(SEARCH("SMOTE",A105)),ISNUMBER(SEARCH("SVMSMOTE",A105)),ISNUMBER(SEARCH("RandomOverSampler",A105)),ISNUMBER(SEARCH("BorderlineSmote",A105))),    OR(ISNUMBER(SEARCH("RandomUnderSampler",A105)),ISNUMBER(SEARCH("ClusterCentroids",A105)),ISNUMBER(SEARCH("OneSidedSelection",A105)))   ),   "Over+Under",   IF(    OR(ISNUMBER(SEARCH("SMOTE",A105)),ISNUMBER(SEARCH("SVMSMOTE",A105)),ISNUMBER(SEARCH("RandomOverSampler",A105)),ISNUMBER(SEARCH("BorderlineSmote",A105))),    "Oversampling",    IF(     OR(ISNUMBER(SEARCH("RandomUnderSampler",A105)),ISNUMBER(SEARCH("ClusterCentroids",A105)),ISNUMBER(SEARCH("OneSidedSelection",A105))),     "Over+Under",     "Czysty"    )   )  ) )</f>
        <v>Oversampling</v>
      </c>
      <c r="C105" s="1" t="s">
        <v>14</v>
      </c>
      <c r="D105" s="1" t="n">
        <v>0.4565</v>
      </c>
      <c r="E105" s="1" t="n">
        <v>0.3448</v>
      </c>
      <c r="F105" s="1" t="n">
        <v>0.3899</v>
      </c>
      <c r="G105" s="1" t="n">
        <v>0.3412</v>
      </c>
      <c r="I105" s="1"/>
      <c r="J105" s="1"/>
      <c r="K105" s="1"/>
      <c r="L105" s="1" t="str">
        <f aca="false">IF(  OR(ISNUMBER(SEARCH("SMOTEENN",A105)),ISNUMBER(SEARCH("SMOTETomek",A105))),  "Hybrid",  IF(   AND(    OR(ISNUMBER(SEARCH("SMOTE",A105)),ISNUMBER(SEARCH("SVMSMOTE",A105)),ISNUMBER(SEARCH("RandomOverSampler",A105)),ISNUMBER(SEARCH("BorderlineSmote",A105))),    OR(ISNUMBER(SEARCH("RandomUnderSampler",A105)),ISNUMBER(SEARCH("ClusterCentroids",A105)),ISNUMBER(SEARCH("OneSidedSelection",A105)))   ),   "Over+Under",   IF(    OR(ISNUMBER(SEARCH("SMOTE",A105)),ISNUMBER(SEARCH("SVMSMOTE",A105)),ISNUMBER(SEARCH("RandomOverSampler",A105)),ISNUMBER(SEARCH("BorderlineSmote",A105))),    "Oversampling",    IF(     OR(ISNUMBER(SEARCH("RandomUnderSampler",A105)),ISNUMBER(SEARCH("ClusterCentroids",A105)),ISNUMBER(SEARCH("OneSidedSelection",A105))),     "Undersampler",     ""    )   )  ) )</f>
        <v>Oversampling</v>
      </c>
      <c r="M105" s="1"/>
      <c r="N105" s="1"/>
    </row>
    <row r="106" customFormat="false" ht="15" hidden="false" customHeight="false" outlineLevel="0" collapsed="false">
      <c r="A106" s="1" t="s">
        <v>80</v>
      </c>
      <c r="B106" s="1" t="str">
        <f aca="false">IF(  OR(ISNUMBER(SEARCH("SMOTEENN",A106)),ISNUMBER(SEARCH("SMOTETomek",A106))),  "Hybrid",  IF(   AND(    OR(ISNUMBER(SEARCH("SMOTE",A106)),ISNUMBER(SEARCH("SVMSMOTE",A106)),ISNUMBER(SEARCH("RandomOverSampler",A106)),ISNUMBER(SEARCH("BorderlineSmote",A106))),    OR(ISNUMBER(SEARCH("RandomUnderSampler",A106)),ISNUMBER(SEARCH("ClusterCentroids",A106)),ISNUMBER(SEARCH("OneSidedSelection",A106)))   ),   "Over+Under",   IF(    OR(ISNUMBER(SEARCH("SMOTE",A106)),ISNUMBER(SEARCH("SVMSMOTE",A106)),ISNUMBER(SEARCH("RandomOverSampler",A106)),ISNUMBER(SEARCH("BorderlineSmote",A106))),    "Oversampling",    IF(     OR(ISNUMBER(SEARCH("RandomUnderSampler",A106)),ISNUMBER(SEARCH("ClusterCentroids",A106)),ISNUMBER(SEARCH("OneSidedSelection",A106))),     "Over+Under",     "Czysty"    )   )  ) )</f>
        <v>Hybrid</v>
      </c>
      <c r="C106" s="1" t="s">
        <v>14</v>
      </c>
      <c r="D106" s="1" t="n">
        <v>0.4228</v>
      </c>
      <c r="E106" s="1" t="n">
        <v>0.3433</v>
      </c>
      <c r="F106" s="1" t="n">
        <v>0.3548</v>
      </c>
      <c r="G106" s="1" t="n">
        <v>0.3497</v>
      </c>
      <c r="I106" s="1"/>
      <c r="J106" s="1"/>
      <c r="K106" s="1"/>
      <c r="L106" s="1" t="str">
        <f aca="false">IF(  OR(ISNUMBER(SEARCH("SMOTEENN",A106)),ISNUMBER(SEARCH("SMOTETomek",A106))),  "Hybrid",  IF(   AND(    OR(ISNUMBER(SEARCH("SMOTE",A106)),ISNUMBER(SEARCH("SVMSMOTE",A106)),ISNUMBER(SEARCH("RandomOverSampler",A106)),ISNUMBER(SEARCH("BorderlineSmote",A106))),    OR(ISNUMBER(SEARCH("RandomUnderSampler",A106)),ISNUMBER(SEARCH("ClusterCentroids",A106)),ISNUMBER(SEARCH("OneSidedSelection",A106)))   ),   "Over+Under",   IF(    OR(ISNUMBER(SEARCH("SMOTE",A106)),ISNUMBER(SEARCH("SVMSMOTE",A106)),ISNUMBER(SEARCH("RandomOverSampler",A106)),ISNUMBER(SEARCH("BorderlineSmote",A106))),    "Oversampling",    IF(     OR(ISNUMBER(SEARCH("RandomUnderSampler",A106)),ISNUMBER(SEARCH("ClusterCentroids",A106)),ISNUMBER(SEARCH("OneSidedSelection",A106))),     "Undersampler",     ""    )   )  ) )</f>
        <v>Hybrid</v>
      </c>
      <c r="M106" s="1"/>
      <c r="N106" s="1"/>
    </row>
    <row r="107" customFormat="false" ht="15" hidden="false" customHeight="false" outlineLevel="0" collapsed="false">
      <c r="A107" s="1" t="s">
        <v>84</v>
      </c>
      <c r="B107" s="1" t="str">
        <f aca="false">IF(  OR(ISNUMBER(SEARCH("SMOTEENN",A107)),ISNUMBER(SEARCH("SMOTETomek",A107))),  "Hybrid",  IF(   AND(    OR(ISNUMBER(SEARCH("SMOTE",A107)),ISNUMBER(SEARCH("SVMSMOTE",A107)),ISNUMBER(SEARCH("RandomOverSampler",A107)),ISNUMBER(SEARCH("BorderlineSmote",A107))),    OR(ISNUMBER(SEARCH("RandomUnderSampler",A107)),ISNUMBER(SEARCH("ClusterCentroids",A107)),ISNUMBER(SEARCH("OneSidedSelection",A107)))   ),   "Over+Under",   IF(    OR(ISNUMBER(SEARCH("SMOTE",A107)),ISNUMBER(SEARCH("SVMSMOTE",A107)),ISNUMBER(SEARCH("RandomOverSampler",A107)),ISNUMBER(SEARCH("BorderlineSmote",A107))),    "Oversampling",    IF(     OR(ISNUMBER(SEARCH("RandomUnderSampler",A107)),ISNUMBER(SEARCH("ClusterCentroids",A107)),ISNUMBER(SEARCH("OneSidedSelection",A107))),     "Over+Under",     "Czysty"    )   )  ) )</f>
        <v>Over+Under</v>
      </c>
      <c r="C107" s="1" t="s">
        <v>14</v>
      </c>
      <c r="D107" s="1" t="n">
        <v>0.4377</v>
      </c>
      <c r="E107" s="1" t="n">
        <v>0.3375</v>
      </c>
      <c r="F107" s="1" t="n">
        <v>0.3503</v>
      </c>
      <c r="G107" s="1" t="n">
        <v>0.3664</v>
      </c>
      <c r="I107" s="1"/>
      <c r="J107" s="1"/>
      <c r="K107" s="1"/>
      <c r="L107" s="1" t="str">
        <f aca="false">IF(  OR(ISNUMBER(SEARCH("SMOTEENN",A107)),ISNUMBER(SEARCH("SMOTETomek",A107))),  "Hybrid",  IF(   AND(    OR(ISNUMBER(SEARCH("SMOTE",A107)),ISNUMBER(SEARCH("SVMSMOTE",A107)),ISNUMBER(SEARCH("RandomOverSampler",A107)),ISNUMBER(SEARCH("BorderlineSmote",A107))),    OR(ISNUMBER(SEARCH("RandomUnderSampler",A107)),ISNUMBER(SEARCH("ClusterCentroids",A107)),ISNUMBER(SEARCH("OneSidedSelection",A107)))   ),   "Over+Under",   IF(    OR(ISNUMBER(SEARCH("SMOTE",A107)),ISNUMBER(SEARCH("SVMSMOTE",A107)),ISNUMBER(SEARCH("RandomOverSampler",A107)),ISNUMBER(SEARCH("BorderlineSmote",A107))),    "Oversampling",    IF(     OR(ISNUMBER(SEARCH("RandomUnderSampler",A107)),ISNUMBER(SEARCH("ClusterCentroids",A107)),ISNUMBER(SEARCH("OneSidedSelection",A107))),     "Undersampler",     ""    )   )  ) )</f>
        <v>Over+Under</v>
      </c>
      <c r="M107" s="1"/>
      <c r="N107" s="1"/>
    </row>
    <row r="108" customFormat="false" ht="15" hidden="false" customHeight="false" outlineLevel="0" collapsed="false">
      <c r="A108" s="1" t="s">
        <v>123</v>
      </c>
      <c r="B108" s="1" t="str">
        <f aca="false">IF(  OR(ISNUMBER(SEARCH("SMOTEENN",A108)),ISNUMBER(SEARCH("SMOTETomek",A108))),  "Hybrid",  IF(   AND(    OR(ISNUMBER(SEARCH("SMOTE",A108)),ISNUMBER(SEARCH("SVMSMOTE",A108)),ISNUMBER(SEARCH("RandomOverSampler",A108)),ISNUMBER(SEARCH("BorderlineSmote",A108))),    OR(ISNUMBER(SEARCH("RandomUnderSampler",A108)),ISNUMBER(SEARCH("ClusterCentroids",A108)),ISNUMBER(SEARCH("OneSidedSelection",A108)))   ),   "Over+Under",   IF(    OR(ISNUMBER(SEARCH("SMOTE",A108)),ISNUMBER(SEARCH("SVMSMOTE",A108)),ISNUMBER(SEARCH("RandomOverSampler",A108)),ISNUMBER(SEARCH("BorderlineSmote",A108))),    "Oversampling",    IF(     OR(ISNUMBER(SEARCH("RandomUnderSampler",A108)),ISNUMBER(SEARCH("ClusterCentroids",A108)),ISNUMBER(SEARCH("OneSidedSelection",A108))),     "Over+Under",     "Czysty"    )   )  ) )</f>
        <v>Oversampling</v>
      </c>
      <c r="C108" s="1" t="s">
        <v>14</v>
      </c>
      <c r="D108" s="1" t="n">
        <v>0.4317</v>
      </c>
      <c r="E108" s="1" t="n">
        <v>0.335</v>
      </c>
      <c r="F108" s="1" t="n">
        <v>0.3784</v>
      </c>
      <c r="G108" s="1" t="n">
        <v>0.3359</v>
      </c>
      <c r="I108" s="1"/>
      <c r="J108" s="1"/>
      <c r="K108" s="1"/>
      <c r="L108" s="1" t="str">
        <f aca="false">IF(  OR(ISNUMBER(SEARCH("SMOTEENN",A108)),ISNUMBER(SEARCH("SMOTETomek",A108))),  "Hybrid",  IF(   AND(    OR(ISNUMBER(SEARCH("SMOTE",A108)),ISNUMBER(SEARCH("SVMSMOTE",A108)),ISNUMBER(SEARCH("RandomOverSampler",A108)),ISNUMBER(SEARCH("BorderlineSmote",A108))),    OR(ISNUMBER(SEARCH("RandomUnderSampler",A108)),ISNUMBER(SEARCH("ClusterCentroids",A108)),ISNUMBER(SEARCH("OneSidedSelection",A108)))   ),   "Over+Under",   IF(    OR(ISNUMBER(SEARCH("SMOTE",A108)),ISNUMBER(SEARCH("SVMSMOTE",A108)),ISNUMBER(SEARCH("RandomOverSampler",A108)),ISNUMBER(SEARCH("BorderlineSmote",A108))),    "Oversampling",    IF(     OR(ISNUMBER(SEARCH("RandomUnderSampler",A108)),ISNUMBER(SEARCH("ClusterCentroids",A108)),ISNUMBER(SEARCH("OneSidedSelection",A108))),     "Undersampler",     ""    )   )  ) )</f>
        <v>Oversampling</v>
      </c>
      <c r="M108" s="1"/>
      <c r="N108" s="1"/>
    </row>
    <row r="109" customFormat="false" ht="15" hidden="false" customHeight="false" outlineLevel="0" collapsed="false">
      <c r="A109" s="1" t="s">
        <v>26</v>
      </c>
      <c r="B109" s="1" t="str">
        <f aca="false">IF(  OR(ISNUMBER(SEARCH("SMOTEENN",A109)),ISNUMBER(SEARCH("SMOTETomek",A109))),  "Hybrid",  IF(   AND(    OR(ISNUMBER(SEARCH("SMOTE",A109)),ISNUMBER(SEARCH("SVMSMOTE",A109)),ISNUMBER(SEARCH("RandomOverSampler",A109)),ISNUMBER(SEARCH("BorderlineSmote",A109))),    OR(ISNUMBER(SEARCH("RandomUnderSampler",A109)),ISNUMBER(SEARCH("ClusterCentroids",A109)),ISNUMBER(SEARCH("OneSidedSelection",A109)))   ),   "Over+Under",   IF(    OR(ISNUMBER(SEARCH("SMOTE",A109)),ISNUMBER(SEARCH("SVMSMOTE",A109)),ISNUMBER(SEARCH("RandomOverSampler",A109)),ISNUMBER(SEARCH("BorderlineSmote",A109))),    "Oversampling",    IF(     OR(ISNUMBER(SEARCH("RandomUnderSampler",A109)),ISNUMBER(SEARCH("ClusterCentroids",A109)),ISNUMBER(SEARCH("OneSidedSelection",A109))),     "Over+Under",     "Czysty"    )   )  ) )</f>
        <v>Czysty</v>
      </c>
      <c r="C109" s="1" t="s">
        <v>14</v>
      </c>
      <c r="D109" s="1" t="n">
        <v>0.4655</v>
      </c>
      <c r="E109" s="1" t="n">
        <v>0.3291</v>
      </c>
      <c r="F109" s="1" t="n">
        <v>0.358</v>
      </c>
      <c r="G109" s="1" t="n">
        <v>0.3353</v>
      </c>
      <c r="I109" s="1"/>
      <c r="J109" s="1"/>
      <c r="K109" s="1"/>
      <c r="L109" s="1" t="str">
        <f aca="false">IF(  OR(ISNUMBER(SEARCH("SMOTEENN",A109)),ISNUMBER(SEARCH("SMOTETomek",A109))),  "Hybrid",  IF(   AND(    OR(ISNUMBER(SEARCH("SMOTE",A109)),ISNUMBER(SEARCH("SVMSMOTE",A109)),ISNUMBER(SEARCH("RandomOverSampler",A109)),ISNUMBER(SEARCH("BorderlineSmote",A109))),    OR(ISNUMBER(SEARCH("RandomUnderSampler",A109)),ISNUMBER(SEARCH("ClusterCentroids",A109)),ISNUMBER(SEARCH("OneSidedSelection",A109)))   ),   "Over+Under",   IF(    OR(ISNUMBER(SEARCH("SMOTE",A109)),ISNUMBER(SEARCH("SVMSMOTE",A109)),ISNUMBER(SEARCH("RandomOverSampler",A109)),ISNUMBER(SEARCH("BorderlineSmote",A109))),    "Oversampling",    IF(     OR(ISNUMBER(SEARCH("RandomUnderSampler",A109)),ISNUMBER(SEARCH("ClusterCentroids",A109)),ISNUMBER(SEARCH("OneSidedSelection",A109))),     "Undersampler",     ""    )   )  ) )</f>
        <v/>
      </c>
      <c r="M109" s="1"/>
      <c r="N109" s="1"/>
    </row>
    <row r="110" customFormat="false" ht="15" hidden="false" customHeight="false" outlineLevel="0" collapsed="false">
      <c r="A110" s="1" t="s">
        <v>83</v>
      </c>
      <c r="B110" s="1" t="str">
        <f aca="false">IF(  OR(ISNUMBER(SEARCH("SMOTEENN",A110)),ISNUMBER(SEARCH("SMOTETomek",A110))),  "Hybrid",  IF(   AND(    OR(ISNUMBER(SEARCH("SMOTE",A110)),ISNUMBER(SEARCH("SVMSMOTE",A110)),ISNUMBER(SEARCH("RandomOverSampler",A110)),ISNUMBER(SEARCH("BorderlineSmote",A110))),    OR(ISNUMBER(SEARCH("RandomUnderSampler",A110)),ISNUMBER(SEARCH("ClusterCentroids",A110)),ISNUMBER(SEARCH("OneSidedSelection",A110)))   ),   "Over+Under",   IF(    OR(ISNUMBER(SEARCH("SMOTE",A110)),ISNUMBER(SEARCH("SVMSMOTE",A110)),ISNUMBER(SEARCH("RandomOverSampler",A110)),ISNUMBER(SEARCH("BorderlineSmote",A110))),    "Oversampling",    IF(     OR(ISNUMBER(SEARCH("RandomUnderSampler",A110)),ISNUMBER(SEARCH("ClusterCentroids",A110)),ISNUMBER(SEARCH("OneSidedSelection",A110))),     "Over+Under",     "Czysty"    )   )  ) )</f>
        <v>Over+Under</v>
      </c>
      <c r="C110" s="1" t="s">
        <v>14</v>
      </c>
      <c r="D110" s="1" t="n">
        <v>0.3287</v>
      </c>
      <c r="E110" s="1" t="n">
        <v>0.325</v>
      </c>
      <c r="F110" s="1" t="n">
        <v>0.3567</v>
      </c>
      <c r="G110" s="1" t="n">
        <v>0.3664</v>
      </c>
      <c r="I110" s="1"/>
      <c r="J110" s="1"/>
      <c r="K110" s="1"/>
      <c r="L110" s="1" t="str">
        <f aca="false">IF(  OR(ISNUMBER(SEARCH("SMOTEENN",A110)),ISNUMBER(SEARCH("SMOTETomek",A110))),  "Hybrid",  IF(   AND(    OR(ISNUMBER(SEARCH("SMOTE",A110)),ISNUMBER(SEARCH("SVMSMOTE",A110)),ISNUMBER(SEARCH("RandomOverSampler",A110)),ISNUMBER(SEARCH("BorderlineSmote",A110))),    OR(ISNUMBER(SEARCH("RandomUnderSampler",A110)),ISNUMBER(SEARCH("ClusterCentroids",A110)),ISNUMBER(SEARCH("OneSidedSelection",A110)))   ),   "Over+Under",   IF(    OR(ISNUMBER(SEARCH("SMOTE",A110)),ISNUMBER(SEARCH("SVMSMOTE",A110)),ISNUMBER(SEARCH("RandomOverSampler",A110)),ISNUMBER(SEARCH("BorderlineSmote",A110))),    "Oversampling",    IF(     OR(ISNUMBER(SEARCH("RandomUnderSampler",A110)),ISNUMBER(SEARCH("ClusterCentroids",A110)),ISNUMBER(SEARCH("OneSidedSelection",A110))),     "Undersampler",     ""    )   )  ) )</f>
        <v>Over+Under</v>
      </c>
      <c r="M110" s="1"/>
      <c r="N110" s="1"/>
    </row>
    <row r="111" customFormat="false" ht="15" hidden="false" customHeight="false" outlineLevel="0" collapsed="false">
      <c r="A111" s="1" t="s">
        <v>85</v>
      </c>
      <c r="B111" s="1" t="str">
        <f aca="false">IF(  OR(ISNUMBER(SEARCH("SMOTEENN",A111)),ISNUMBER(SEARCH("SMOTETomek",A111))),  "Hybrid",  IF(   AND(    OR(ISNUMBER(SEARCH("SMOTE",A111)),ISNUMBER(SEARCH("SVMSMOTE",A111)),ISNUMBER(SEARCH("RandomOverSampler",A111)),ISNUMBER(SEARCH("BorderlineSmote",A111))),    OR(ISNUMBER(SEARCH("RandomUnderSampler",A111)),ISNUMBER(SEARCH("ClusterCentroids",A111)),ISNUMBER(SEARCH("OneSidedSelection",A111)))   ),   "Over+Under",   IF(    OR(ISNUMBER(SEARCH("SMOTE",A111)),ISNUMBER(SEARCH("SVMSMOTE",A111)),ISNUMBER(SEARCH("RandomOverSampler",A111)),ISNUMBER(SEARCH("BorderlineSmote",A111))),    "Oversampling",    IF(     OR(ISNUMBER(SEARCH("RandomUnderSampler",A111)),ISNUMBER(SEARCH("ClusterCentroids",A111)),ISNUMBER(SEARCH("OneSidedSelection",A111))),     "Over+Under",     "Czysty"    )   )  ) )</f>
        <v>Over+Under</v>
      </c>
      <c r="C111" s="1" t="s">
        <v>14</v>
      </c>
      <c r="D111" s="1" t="n">
        <v>0.3097</v>
      </c>
      <c r="E111" s="1" t="n">
        <v>0.317</v>
      </c>
      <c r="F111" s="1" t="n">
        <v>0.3429</v>
      </c>
      <c r="G111" s="1" t="n">
        <v>0.344</v>
      </c>
      <c r="I111" s="1"/>
      <c r="J111" s="1"/>
      <c r="K111" s="1"/>
      <c r="L111" s="1" t="str">
        <f aca="false">IF(  OR(ISNUMBER(SEARCH("SMOTEENN",A111)),ISNUMBER(SEARCH("SMOTETomek",A111))),  "Hybrid",  IF(   AND(    OR(ISNUMBER(SEARCH("SMOTE",A111)),ISNUMBER(SEARCH("SVMSMOTE",A111)),ISNUMBER(SEARCH("RandomOverSampler",A111)),ISNUMBER(SEARCH("BorderlineSmote",A111))),    OR(ISNUMBER(SEARCH("RandomUnderSampler",A111)),ISNUMBER(SEARCH("ClusterCentroids",A111)),ISNUMBER(SEARCH("OneSidedSelection",A111)))   ),   "Over+Under",   IF(    OR(ISNUMBER(SEARCH("SMOTE",A111)),ISNUMBER(SEARCH("SVMSMOTE",A111)),ISNUMBER(SEARCH("RandomOverSampler",A111)),ISNUMBER(SEARCH("BorderlineSmote",A111))),    "Oversampling",    IF(     OR(ISNUMBER(SEARCH("RandomUnderSampler",A111)),ISNUMBER(SEARCH("ClusterCentroids",A111)),ISNUMBER(SEARCH("OneSidedSelection",A111))),     "Undersampler",     ""    )   )  ) )</f>
        <v>Over+Under</v>
      </c>
      <c r="M111" s="1"/>
      <c r="N111" s="1"/>
    </row>
    <row r="112" customFormat="false" ht="15" hidden="false" customHeight="false" outlineLevel="0" collapsed="false">
      <c r="A112" s="1" t="s">
        <v>124</v>
      </c>
      <c r="B112" s="1" t="str">
        <f aca="false">IF(  OR(ISNUMBER(SEARCH("SMOTEENN",A112)),ISNUMBER(SEARCH("SMOTETomek",A112))),  "Hybrid",  IF(   AND(    OR(ISNUMBER(SEARCH("SMOTE",A112)),ISNUMBER(SEARCH("SVMSMOTE",A112)),ISNUMBER(SEARCH("RandomOverSampler",A112)),ISNUMBER(SEARCH("BorderlineSmote",A112))),    OR(ISNUMBER(SEARCH("RandomUnderSampler",A112)),ISNUMBER(SEARCH("ClusterCentroids",A112)),ISNUMBER(SEARCH("OneSidedSelection",A112)))   ),   "Over+Under",   IF(    OR(ISNUMBER(SEARCH("SMOTE",A112)),ISNUMBER(SEARCH("SVMSMOTE",A112)),ISNUMBER(SEARCH("RandomOverSampler",A112)),ISNUMBER(SEARCH("BorderlineSmote",A112))),    "Oversampling",    IF(     OR(ISNUMBER(SEARCH("RandomUnderSampler",A112)),ISNUMBER(SEARCH("ClusterCentroids",A112)),ISNUMBER(SEARCH("OneSidedSelection",A112))),     "Over+Under",     "Czysty"    )   )  ) )</f>
        <v>Over+Under</v>
      </c>
      <c r="C112" s="1" t="s">
        <v>14</v>
      </c>
      <c r="D112" s="1" t="n">
        <v>0.2967</v>
      </c>
      <c r="E112" s="1" t="n">
        <v>0.3124</v>
      </c>
      <c r="F112" s="1" t="n">
        <v>0.3699</v>
      </c>
      <c r="G112" s="1" t="n">
        <v>0.3412</v>
      </c>
      <c r="I112" s="1"/>
      <c r="J112" s="1"/>
      <c r="K112" s="1"/>
      <c r="L112" s="1" t="str">
        <f aca="false">IF(  OR(ISNUMBER(SEARCH("SMOTEENN",A112)),ISNUMBER(SEARCH("SMOTETomek",A112))),  "Hybrid",  IF(   AND(    OR(ISNUMBER(SEARCH("SMOTE",A112)),ISNUMBER(SEARCH("SVMSMOTE",A112)),ISNUMBER(SEARCH("RandomOverSampler",A112)),ISNUMBER(SEARCH("BorderlineSmote",A112))),    OR(ISNUMBER(SEARCH("RandomUnderSampler",A112)),ISNUMBER(SEARCH("ClusterCentroids",A112)),ISNUMBER(SEARCH("OneSidedSelection",A112)))   ),   "Over+Under",   IF(    OR(ISNUMBER(SEARCH("SMOTE",A112)),ISNUMBER(SEARCH("SVMSMOTE",A112)),ISNUMBER(SEARCH("RandomOverSampler",A112)),ISNUMBER(SEARCH("BorderlineSmote",A112))),    "Oversampling",    IF(     OR(ISNUMBER(SEARCH("RandomUnderSampler",A112)),ISNUMBER(SEARCH("ClusterCentroids",A112)),ISNUMBER(SEARCH("OneSidedSelection",A112))),     "Undersampler",     ""    )   )  ) )</f>
        <v>Over+Under</v>
      </c>
      <c r="M112" s="1"/>
      <c r="N112" s="1"/>
    </row>
    <row r="113" customFormat="false" ht="15" hidden="false" customHeight="false" outlineLevel="0" collapsed="false">
      <c r="A113" s="1" t="s">
        <v>82</v>
      </c>
      <c r="B113" s="1" t="str">
        <f aca="false">IF(  OR(ISNUMBER(SEARCH("SMOTEENN",A113)),ISNUMBER(SEARCH("SMOTETomek",A113))),  "Hybrid",  IF(   AND(    OR(ISNUMBER(SEARCH("SMOTE",A113)),ISNUMBER(SEARCH("SVMSMOTE",A113)),ISNUMBER(SEARCH("RandomOverSampler",A113)),ISNUMBER(SEARCH("BorderlineSmote",A113))),    OR(ISNUMBER(SEARCH("RandomUnderSampler",A113)),ISNUMBER(SEARCH("ClusterCentroids",A113)),ISNUMBER(SEARCH("OneSidedSelection",A113)))   ),   "Over+Under",   IF(    OR(ISNUMBER(SEARCH("SMOTE",A113)),ISNUMBER(SEARCH("SVMSMOTE",A113)),ISNUMBER(SEARCH("RandomOverSampler",A113)),ISNUMBER(SEARCH("BorderlineSmote",A113))),    "Oversampling",    IF(     OR(ISNUMBER(SEARCH("RandomUnderSampler",A113)),ISNUMBER(SEARCH("ClusterCentroids",A113)),ISNUMBER(SEARCH("OneSidedSelection",A113))),     "Over+Under",     "Czysty"    )   )  ) )</f>
        <v>Over+Under</v>
      </c>
      <c r="C113" s="1" t="s">
        <v>14</v>
      </c>
      <c r="D113" s="1" t="n">
        <v>0.3141</v>
      </c>
      <c r="E113" s="1" t="n">
        <v>0.3092</v>
      </c>
      <c r="F113" s="1" t="n">
        <v>0.3418</v>
      </c>
      <c r="G113" s="1" t="n">
        <v>0.3459</v>
      </c>
      <c r="I113" s="1"/>
      <c r="J113" s="1"/>
      <c r="K113" s="1"/>
      <c r="L113" s="1" t="str">
        <f aca="false">IF(  OR(ISNUMBER(SEARCH("SMOTEENN",A113)),ISNUMBER(SEARCH("SMOTETomek",A113))),  "Hybrid",  IF(   AND(    OR(ISNUMBER(SEARCH("SMOTE",A113)),ISNUMBER(SEARCH("SVMSMOTE",A113)),ISNUMBER(SEARCH("RandomOverSampler",A113)),ISNUMBER(SEARCH("BorderlineSmote",A113))),    OR(ISNUMBER(SEARCH("RandomUnderSampler",A113)),ISNUMBER(SEARCH("ClusterCentroids",A113)),ISNUMBER(SEARCH("OneSidedSelection",A113)))   ),   "Over+Under",   IF(    OR(ISNUMBER(SEARCH("SMOTE",A113)),ISNUMBER(SEARCH("SVMSMOTE",A113)),ISNUMBER(SEARCH("RandomOverSampler",A113)),ISNUMBER(SEARCH("BorderlineSmote",A113))),    "Oversampling",    IF(     OR(ISNUMBER(SEARCH("RandomUnderSampler",A113)),ISNUMBER(SEARCH("ClusterCentroids",A113)),ISNUMBER(SEARCH("OneSidedSelection",A113))),     "Undersampler",     ""    )   )  ) )</f>
        <v>Over+Under</v>
      </c>
      <c r="M113" s="1"/>
      <c r="N113" s="1"/>
    </row>
    <row r="114" customFormat="false" ht="15" hidden="false" customHeight="false" outlineLevel="0" collapsed="false">
      <c r="A114" s="1" t="s">
        <v>86</v>
      </c>
      <c r="B114" s="1" t="str">
        <f aca="false">IF(  OR(ISNUMBER(SEARCH("SMOTEENN",A114)),ISNUMBER(SEARCH("SMOTETomek",A114))),  "Hybrid",  IF(   AND(    OR(ISNUMBER(SEARCH("SMOTE",A114)),ISNUMBER(SEARCH("SVMSMOTE",A114)),ISNUMBER(SEARCH("RandomOverSampler",A114)),ISNUMBER(SEARCH("BorderlineSmote",A114))),    OR(ISNUMBER(SEARCH("RandomUnderSampler",A114)),ISNUMBER(SEARCH("ClusterCentroids",A114)),ISNUMBER(SEARCH("OneSidedSelection",A114)))   ),   "Over+Under",   IF(    OR(ISNUMBER(SEARCH("SMOTE",A114)),ISNUMBER(SEARCH("SVMSMOTE",A114)),ISNUMBER(SEARCH("RandomOverSampler",A114)),ISNUMBER(SEARCH("BorderlineSmote",A114))),    "Oversampling",    IF(     OR(ISNUMBER(SEARCH("RandomUnderSampler",A114)),ISNUMBER(SEARCH("ClusterCentroids",A114)),ISNUMBER(SEARCH("OneSidedSelection",A114))),     "Over+Under",     "Czysty"    )   )  ) )</f>
        <v>Over+Under</v>
      </c>
      <c r="C114" s="1" t="s">
        <v>14</v>
      </c>
      <c r="D114" s="1" t="n">
        <v>0.2994</v>
      </c>
      <c r="E114" s="1" t="n">
        <v>0.2926</v>
      </c>
      <c r="F114" s="1" t="n">
        <v>0.3724</v>
      </c>
      <c r="G114" s="1" t="n">
        <v>0.3177</v>
      </c>
      <c r="I114" s="1"/>
      <c r="J114" s="1"/>
      <c r="K114" s="1"/>
      <c r="L114" s="1" t="str">
        <f aca="false">IF(  OR(ISNUMBER(SEARCH("SMOTEENN",A114)),ISNUMBER(SEARCH("SMOTETomek",A114))),  "Hybrid",  IF(   AND(    OR(ISNUMBER(SEARCH("SMOTE",A114)),ISNUMBER(SEARCH("SVMSMOTE",A114)),ISNUMBER(SEARCH("RandomOverSampler",A114)),ISNUMBER(SEARCH("BorderlineSmote",A114))),    OR(ISNUMBER(SEARCH("RandomUnderSampler",A114)),ISNUMBER(SEARCH("ClusterCentroids",A114)),ISNUMBER(SEARCH("OneSidedSelection",A114)))   ),   "Over+Under",   IF(    OR(ISNUMBER(SEARCH("SMOTE",A114)),ISNUMBER(SEARCH("SVMSMOTE",A114)),ISNUMBER(SEARCH("RandomOverSampler",A114)),ISNUMBER(SEARCH("BorderlineSmote",A114))),    "Oversampling",    IF(     OR(ISNUMBER(SEARCH("RandomUnderSampler",A114)),ISNUMBER(SEARCH("ClusterCentroids",A114)),ISNUMBER(SEARCH("OneSidedSelection",A114))),     "Undersampler",     ""    )   )  ) )</f>
        <v>Over+Under</v>
      </c>
      <c r="M114" s="1"/>
      <c r="N114" s="1"/>
    </row>
    <row r="115" customFormat="false" ht="15" hidden="false" customHeight="false" outlineLevel="0" collapsed="false">
      <c r="A115" s="1" t="s">
        <v>125</v>
      </c>
      <c r="B115" s="1" t="str">
        <f aca="false">IF(  OR(ISNUMBER(SEARCH("SMOTEENN",A115)),ISNUMBER(SEARCH("SMOTETomek",A115))),  "Hybrid",  IF(   AND(    OR(ISNUMBER(SEARCH("SMOTE",A115)),ISNUMBER(SEARCH("SVMSMOTE",A115)),ISNUMBER(SEARCH("RandomOverSampler",A115)),ISNUMBER(SEARCH("BorderlineSmote",A115))),    OR(ISNUMBER(SEARCH("RandomUnderSampler",A115)),ISNUMBER(SEARCH("ClusterCentroids",A115)),ISNUMBER(SEARCH("OneSidedSelection",A115)))   ),   "Over+Under",   IF(    OR(ISNUMBER(SEARCH("SMOTE",A115)),ISNUMBER(SEARCH("SVMSMOTE",A115)),ISNUMBER(SEARCH("RandomOverSampler",A115)),ISNUMBER(SEARCH("BorderlineSmote",A115))),    "Oversampling",    IF(     OR(ISNUMBER(SEARCH("RandomUnderSampler",A115)),ISNUMBER(SEARCH("ClusterCentroids",A115)),ISNUMBER(SEARCH("OneSidedSelection",A115))),     "Over+Under",     "Czysty"    )   )  ) )</f>
        <v>Over+Under</v>
      </c>
      <c r="C115" s="1" t="s">
        <v>14</v>
      </c>
      <c r="D115" s="1" t="n">
        <v>0.273</v>
      </c>
      <c r="E115" s="1" t="n">
        <v>0.2806</v>
      </c>
      <c r="F115" s="1" t="n">
        <v>0.3375</v>
      </c>
      <c r="G115" s="1" t="n">
        <v>0.3357</v>
      </c>
      <c r="I115" s="1"/>
      <c r="J115" s="1"/>
      <c r="K115" s="1"/>
      <c r="L115" s="1" t="str">
        <f aca="false">IF(  OR(ISNUMBER(SEARCH("SMOTEENN",A115)),ISNUMBER(SEARCH("SMOTETomek",A115))),  "Hybrid",  IF(   AND(    OR(ISNUMBER(SEARCH("SMOTE",A115)),ISNUMBER(SEARCH("SVMSMOTE",A115)),ISNUMBER(SEARCH("RandomOverSampler",A115)),ISNUMBER(SEARCH("BorderlineSmote",A115))),    OR(ISNUMBER(SEARCH("RandomUnderSampler",A115)),ISNUMBER(SEARCH("ClusterCentroids",A115)),ISNUMBER(SEARCH("OneSidedSelection",A115)))   ),   "Over+Under",   IF(    OR(ISNUMBER(SEARCH("SMOTE",A115)),ISNUMBER(SEARCH("SVMSMOTE",A115)),ISNUMBER(SEARCH("RandomOverSampler",A115)),ISNUMBER(SEARCH("BorderlineSmote",A115))),    "Oversampling",    IF(     OR(ISNUMBER(SEARCH("RandomUnderSampler",A115)),ISNUMBER(SEARCH("ClusterCentroids",A115)),ISNUMBER(SEARCH("OneSidedSelection",A115))),     "Undersampler",     ""    )   )  ) )</f>
        <v>Over+Under</v>
      </c>
      <c r="M115" s="1"/>
      <c r="N115" s="1"/>
    </row>
    <row r="116" customFormat="false" ht="15" hidden="false" customHeight="false" outlineLevel="0" collapsed="false">
      <c r="A116" s="1" t="s">
        <v>87</v>
      </c>
      <c r="B116" s="1" t="str">
        <f aca="false">IF(  OR(ISNUMBER(SEARCH("SMOTEENN",A116)),ISNUMBER(SEARCH("SMOTETomek",A116))),  "Hybrid",  IF(   AND(    OR(ISNUMBER(SEARCH("SMOTE",A116)),ISNUMBER(SEARCH("SVMSMOTE",A116)),ISNUMBER(SEARCH("RandomOverSampler",A116)),ISNUMBER(SEARCH("BorderlineSmote",A116))),    OR(ISNUMBER(SEARCH("RandomUnderSampler",A116)),ISNUMBER(SEARCH("ClusterCentroids",A116)),ISNUMBER(SEARCH("OneSidedSelection",A116)))   ),   "Over+Under",   IF(    OR(ISNUMBER(SEARCH("SMOTE",A116)),ISNUMBER(SEARCH("SVMSMOTE",A116)),ISNUMBER(SEARCH("RandomOverSampler",A116)),ISNUMBER(SEARCH("BorderlineSmote",A116))),    "Oversampling",    IF(     OR(ISNUMBER(SEARCH("RandomUnderSampler",A116)),ISNUMBER(SEARCH("ClusterCentroids",A116)),ISNUMBER(SEARCH("OneSidedSelection",A116))),     "Over+Under",     "Czysty"    )   )  ) )</f>
        <v>Hybrid</v>
      </c>
      <c r="C116" s="1" t="s">
        <v>14</v>
      </c>
      <c r="D116" s="1" t="n">
        <v>0.1805</v>
      </c>
      <c r="E116" s="1" t="n">
        <v>0.216</v>
      </c>
      <c r="F116" s="1" t="n">
        <v>0.2015</v>
      </c>
      <c r="G116" s="1" t="n">
        <v>0.3296</v>
      </c>
      <c r="I116" s="1"/>
      <c r="J116" s="1"/>
      <c r="K116" s="1"/>
      <c r="L116" s="1" t="str">
        <f aca="false">IF(  OR(ISNUMBER(SEARCH("SMOTEENN",A116)),ISNUMBER(SEARCH("SMOTETomek",A116))),  "Hybrid",  IF(   AND(    OR(ISNUMBER(SEARCH("SMOTE",A116)),ISNUMBER(SEARCH("SVMSMOTE",A116)),ISNUMBER(SEARCH("RandomOverSampler",A116)),ISNUMBER(SEARCH("BorderlineSmote",A116))),    OR(ISNUMBER(SEARCH("RandomUnderSampler",A116)),ISNUMBER(SEARCH("ClusterCentroids",A116)),ISNUMBER(SEARCH("OneSidedSelection",A116)))   ),   "Over+Under",   IF(    OR(ISNUMBER(SEARCH("SMOTE",A116)),ISNUMBER(SEARCH("SVMSMOTE",A116)),ISNUMBER(SEARCH("RandomOverSampler",A116)),ISNUMBER(SEARCH("BorderlineSmote",A116))),    "Oversampling",    IF(     OR(ISNUMBER(SEARCH("RandomUnderSampler",A116)),ISNUMBER(SEARCH("ClusterCentroids",A116)),ISNUMBER(SEARCH("OneSidedSelection",A116))),     "Undersampler",     ""    )   )  ) )</f>
        <v>Hybrid</v>
      </c>
      <c r="M116" s="1"/>
      <c r="N116" s="1"/>
    </row>
    <row r="117" customFormat="false" ht="15" hidden="false" customHeight="false" outlineLevel="0" collapsed="false">
      <c r="A117" s="1" t="s">
        <v>79</v>
      </c>
      <c r="B117" s="1" t="str">
        <f aca="false">IF(  OR(ISNUMBER(SEARCH("SMOTEENN",A117)),ISNUMBER(SEARCH("SMOTETomek",A117))),  "Hybrid",  IF(   AND(    OR(ISNUMBER(SEARCH("SMOTE",A117)),ISNUMBER(SEARCH("SVMSMOTE",A117)),ISNUMBER(SEARCH("RandomOverSampler",A117)),ISNUMBER(SEARCH("BorderlineSmote",A117))),    OR(ISNUMBER(SEARCH("RandomUnderSampler",A117)),ISNUMBER(SEARCH("ClusterCentroids",A117)),ISNUMBER(SEARCH("OneSidedSelection",A117)))   ),   "Over+Under",   IF(    OR(ISNUMBER(SEARCH("SMOTE",A117)),ISNUMBER(SEARCH("SVMSMOTE",A117)),ISNUMBER(SEARCH("RandomOverSampler",A117)),ISNUMBER(SEARCH("BorderlineSmote",A117))),    "Oversampling",    IF(     OR(ISNUMBER(SEARCH("RandomUnderSampler",A117)),ISNUMBER(SEARCH("ClusterCentroids",A117)),ISNUMBER(SEARCH("OneSidedSelection",A117))),     "Over+Under",     "Czysty"    )   )  ) )</f>
        <v>Oversampling</v>
      </c>
      <c r="C117" s="1" t="s">
        <v>74</v>
      </c>
      <c r="D117" s="1" t="n">
        <v>0.4405</v>
      </c>
      <c r="E117" s="1" t="n">
        <v>0.3993</v>
      </c>
      <c r="F117" s="1" t="n">
        <v>0.4752</v>
      </c>
      <c r="G117" s="1" t="n">
        <v>0.3937</v>
      </c>
      <c r="I117" s="1"/>
      <c r="J117" s="1"/>
      <c r="K117" s="1"/>
      <c r="L117" s="1" t="str">
        <f aca="false">IF(  OR(ISNUMBER(SEARCH("SMOTEENN",A117)),ISNUMBER(SEARCH("SMOTETomek",A117))),  "Hybrid",  IF(   AND(    OR(ISNUMBER(SEARCH("SMOTE",A117)),ISNUMBER(SEARCH("SVMSMOTE",A117)),ISNUMBER(SEARCH("RandomOverSampler",A117)),ISNUMBER(SEARCH("BorderlineSmote",A117))),    OR(ISNUMBER(SEARCH("RandomUnderSampler",A117)),ISNUMBER(SEARCH("ClusterCentroids",A117)),ISNUMBER(SEARCH("OneSidedSelection",A117)))   ),   "Over+Under",   IF(    OR(ISNUMBER(SEARCH("SMOTE",A117)),ISNUMBER(SEARCH("SVMSMOTE",A117)),ISNUMBER(SEARCH("RandomOverSampler",A117)),ISNUMBER(SEARCH("BorderlineSmote",A117))),    "Oversampling",    IF(     OR(ISNUMBER(SEARCH("RandomUnderSampler",A117)),ISNUMBER(SEARCH("ClusterCentroids",A117)),ISNUMBER(SEARCH("OneSidedSelection",A117))),     "Undersampler",     ""    )   )  ) )</f>
        <v>Oversampling</v>
      </c>
      <c r="M117" s="1"/>
      <c r="N117" s="1"/>
    </row>
    <row r="118" customFormat="false" ht="15" hidden="false" customHeight="false" outlineLevel="0" collapsed="false">
      <c r="A118" s="1" t="s">
        <v>83</v>
      </c>
      <c r="B118" s="1" t="str">
        <f aca="false">IF(  OR(ISNUMBER(SEARCH("SMOTEENN",A118)),ISNUMBER(SEARCH("SMOTETomek",A118))),  "Hybrid",  IF(   AND(    OR(ISNUMBER(SEARCH("SMOTE",A118)),ISNUMBER(SEARCH("SVMSMOTE",A118)),ISNUMBER(SEARCH("RandomOverSampler",A118)),ISNUMBER(SEARCH("BorderlineSmote",A118))),    OR(ISNUMBER(SEARCH("RandomUnderSampler",A118)),ISNUMBER(SEARCH("ClusterCentroids",A118)),ISNUMBER(SEARCH("OneSidedSelection",A118)))   ),   "Over+Under",   IF(    OR(ISNUMBER(SEARCH("SMOTE",A118)),ISNUMBER(SEARCH("SVMSMOTE",A118)),ISNUMBER(SEARCH("RandomOverSampler",A118)),ISNUMBER(SEARCH("BorderlineSmote",A118))),    "Oversampling",    IF(     OR(ISNUMBER(SEARCH("RandomUnderSampler",A118)),ISNUMBER(SEARCH("ClusterCentroids",A118)),ISNUMBER(SEARCH("OneSidedSelection",A118))),     "Over+Under",     "Czysty"    )   )  ) )</f>
        <v>Over+Under</v>
      </c>
      <c r="C118" s="1" t="s">
        <v>74</v>
      </c>
      <c r="D118" s="1" t="n">
        <v>0.3671</v>
      </c>
      <c r="E118" s="1" t="n">
        <v>0.3747</v>
      </c>
      <c r="F118" s="1" t="n">
        <v>0.4083</v>
      </c>
      <c r="G118" s="1" t="n">
        <v>0.4049</v>
      </c>
      <c r="I118" s="1"/>
      <c r="J118" s="1"/>
      <c r="K118" s="1"/>
      <c r="L118" s="1" t="str">
        <f aca="false">IF(  OR(ISNUMBER(SEARCH("SMOTEENN",A118)),ISNUMBER(SEARCH("SMOTETomek",A118))),  "Hybrid",  IF(   AND(    OR(ISNUMBER(SEARCH("SMOTE",A118)),ISNUMBER(SEARCH("SVMSMOTE",A118)),ISNUMBER(SEARCH("RandomOverSampler",A118)),ISNUMBER(SEARCH("BorderlineSmote",A118))),    OR(ISNUMBER(SEARCH("RandomUnderSampler",A118)),ISNUMBER(SEARCH("ClusterCentroids",A118)),ISNUMBER(SEARCH("OneSidedSelection",A118)))   ),   "Over+Under",   IF(    OR(ISNUMBER(SEARCH("SMOTE",A118)),ISNUMBER(SEARCH("SVMSMOTE",A118)),ISNUMBER(SEARCH("RandomOverSampler",A118)),ISNUMBER(SEARCH("BorderlineSmote",A118))),    "Oversampling",    IF(     OR(ISNUMBER(SEARCH("RandomUnderSampler",A118)),ISNUMBER(SEARCH("ClusterCentroids",A118)),ISNUMBER(SEARCH("OneSidedSelection",A118))),     "Undersampler",     ""    )   )  ) )</f>
        <v>Over+Under</v>
      </c>
      <c r="M118" s="1"/>
      <c r="N118" s="1"/>
    </row>
    <row r="119" customFormat="false" ht="15" hidden="false" customHeight="false" outlineLevel="0" collapsed="false">
      <c r="A119" s="1" t="s">
        <v>80</v>
      </c>
      <c r="B119" s="1" t="str">
        <f aca="false">IF(  OR(ISNUMBER(SEARCH("SMOTEENN",A119)),ISNUMBER(SEARCH("SMOTETomek",A119))),  "Hybrid",  IF(   AND(    OR(ISNUMBER(SEARCH("SMOTE",A119)),ISNUMBER(SEARCH("SVMSMOTE",A119)),ISNUMBER(SEARCH("RandomOverSampler",A119)),ISNUMBER(SEARCH("BorderlineSmote",A119))),    OR(ISNUMBER(SEARCH("RandomUnderSampler",A119)),ISNUMBER(SEARCH("ClusterCentroids",A119)),ISNUMBER(SEARCH("OneSidedSelection",A119)))   ),   "Over+Under",   IF(    OR(ISNUMBER(SEARCH("SMOTE",A119)),ISNUMBER(SEARCH("SVMSMOTE",A119)),ISNUMBER(SEARCH("RandomOverSampler",A119)),ISNUMBER(SEARCH("BorderlineSmote",A119))),    "Oversampling",    IF(     OR(ISNUMBER(SEARCH("RandomUnderSampler",A119)),ISNUMBER(SEARCH("ClusterCentroids",A119)),ISNUMBER(SEARCH("OneSidedSelection",A119))),     "Over+Under",     "Czysty"    )   )  ) )</f>
        <v>Hybrid</v>
      </c>
      <c r="C119" s="1" t="s">
        <v>74</v>
      </c>
      <c r="D119" s="1" t="n">
        <v>0.4068</v>
      </c>
      <c r="E119" s="1" t="n">
        <v>0.3447</v>
      </c>
      <c r="F119" s="1" t="n">
        <v>0.4167</v>
      </c>
      <c r="G119" s="1" t="n">
        <v>0.3411</v>
      </c>
      <c r="I119" s="1"/>
      <c r="J119" s="1"/>
      <c r="K119" s="1"/>
      <c r="L119" s="1" t="str">
        <f aca="false">IF(  OR(ISNUMBER(SEARCH("SMOTEENN",A119)),ISNUMBER(SEARCH("SMOTETomek",A119))),  "Hybrid",  IF(   AND(    OR(ISNUMBER(SEARCH("SMOTE",A119)),ISNUMBER(SEARCH("SVMSMOTE",A119)),ISNUMBER(SEARCH("RandomOverSampler",A119)),ISNUMBER(SEARCH("BorderlineSmote",A119))),    OR(ISNUMBER(SEARCH("RandomUnderSampler",A119)),ISNUMBER(SEARCH("ClusterCentroids",A119)),ISNUMBER(SEARCH("OneSidedSelection",A119)))   ),   "Over+Under",   IF(    OR(ISNUMBER(SEARCH("SMOTE",A119)),ISNUMBER(SEARCH("SVMSMOTE",A119)),ISNUMBER(SEARCH("RandomOverSampler",A119)),ISNUMBER(SEARCH("BorderlineSmote",A119))),    "Oversampling",    IF(     OR(ISNUMBER(SEARCH("RandomUnderSampler",A119)),ISNUMBER(SEARCH("ClusterCentroids",A119)),ISNUMBER(SEARCH("OneSidedSelection",A119))),     "Undersampler",     ""    )   )  ) )</f>
        <v>Hybrid</v>
      </c>
      <c r="M119" s="1"/>
      <c r="N119" s="1"/>
    </row>
    <row r="120" customFormat="false" ht="15" hidden="false" customHeight="false" outlineLevel="0" collapsed="false">
      <c r="A120" s="1" t="s">
        <v>82</v>
      </c>
      <c r="B120" s="1" t="str">
        <f aca="false">IF(  OR(ISNUMBER(SEARCH("SMOTEENN",A120)),ISNUMBER(SEARCH("SMOTETomek",A120))),  "Hybrid",  IF(   AND(    OR(ISNUMBER(SEARCH("SMOTE",A120)),ISNUMBER(SEARCH("SVMSMOTE",A120)),ISNUMBER(SEARCH("RandomOverSampler",A120)),ISNUMBER(SEARCH("BorderlineSmote",A120))),    OR(ISNUMBER(SEARCH("RandomUnderSampler",A120)),ISNUMBER(SEARCH("ClusterCentroids",A120)),ISNUMBER(SEARCH("OneSidedSelection",A120)))   ),   "Over+Under",   IF(    OR(ISNUMBER(SEARCH("SMOTE",A120)),ISNUMBER(SEARCH("SVMSMOTE",A120)),ISNUMBER(SEARCH("RandomOverSampler",A120)),ISNUMBER(SEARCH("BorderlineSmote",A120))),    "Oversampling",    IF(     OR(ISNUMBER(SEARCH("RandomUnderSampler",A120)),ISNUMBER(SEARCH("ClusterCentroids",A120)),ISNUMBER(SEARCH("OneSidedSelection",A120))),     "Over+Under",     "Czysty"    )   )  ) )</f>
        <v>Over+Under</v>
      </c>
      <c r="C120" s="1" t="s">
        <v>74</v>
      </c>
      <c r="D120" s="1" t="n">
        <v>0.339</v>
      </c>
      <c r="E120" s="1" t="n">
        <v>0.3423</v>
      </c>
      <c r="F120" s="1" t="n">
        <v>0.3702</v>
      </c>
      <c r="G120" s="1" t="n">
        <v>0.3646</v>
      </c>
      <c r="I120" s="1"/>
      <c r="J120" s="1"/>
      <c r="K120" s="1"/>
      <c r="L120" s="1" t="str">
        <f aca="false">IF(  OR(ISNUMBER(SEARCH("SMOTEENN",A120)),ISNUMBER(SEARCH("SMOTETomek",A120))),  "Hybrid",  IF(   AND(    OR(ISNUMBER(SEARCH("SMOTE",A120)),ISNUMBER(SEARCH("SVMSMOTE",A120)),ISNUMBER(SEARCH("RandomOverSampler",A120)),ISNUMBER(SEARCH("BorderlineSmote",A120))),    OR(ISNUMBER(SEARCH("RandomUnderSampler",A120)),ISNUMBER(SEARCH("ClusterCentroids",A120)),ISNUMBER(SEARCH("OneSidedSelection",A120)))   ),   "Over+Under",   IF(    OR(ISNUMBER(SEARCH("SMOTE",A120)),ISNUMBER(SEARCH("SVMSMOTE",A120)),ISNUMBER(SEARCH("RandomOverSampler",A120)),ISNUMBER(SEARCH("BorderlineSmote",A120))),    "Oversampling",    IF(     OR(ISNUMBER(SEARCH("RandomUnderSampler",A120)),ISNUMBER(SEARCH("ClusterCentroids",A120)),ISNUMBER(SEARCH("OneSidedSelection",A120))),     "Undersampler",     ""    )   )  ) )</f>
        <v>Over+Under</v>
      </c>
      <c r="M120" s="1"/>
      <c r="N120" s="1"/>
    </row>
    <row r="121" customFormat="false" ht="15" hidden="false" customHeight="false" outlineLevel="0" collapsed="false">
      <c r="A121" s="1" t="s">
        <v>126</v>
      </c>
      <c r="B121" s="1" t="str">
        <f aca="false">IF(  OR(ISNUMBER(SEARCH("SMOTEENN",A121)),ISNUMBER(SEARCH("SMOTETomek",A121))),  "Hybrid",  IF(   AND(    OR(ISNUMBER(SEARCH("SMOTE",A121)),ISNUMBER(SEARCH("SVMSMOTE",A121)),ISNUMBER(SEARCH("RandomOverSampler",A121)),ISNUMBER(SEARCH("BorderlineSmote",A121))),    OR(ISNUMBER(SEARCH("RandomUnderSampler",A121)),ISNUMBER(SEARCH("ClusterCentroids",A121)),ISNUMBER(SEARCH("OneSidedSelection",A121)))   ),   "Over+Under",   IF(    OR(ISNUMBER(SEARCH("SMOTE",A121)),ISNUMBER(SEARCH("SVMSMOTE",A121)),ISNUMBER(SEARCH("RandomOverSampler",A121)),ISNUMBER(SEARCH("BorderlineSmote",A121))),    "Oversampling",    IF(     OR(ISNUMBER(SEARCH("RandomUnderSampler",A121)),ISNUMBER(SEARCH("ClusterCentroids",A121)),ISNUMBER(SEARCH("OneSidedSelection",A121))),     "Over+Under",     "Czysty"    )   )  ) )</f>
        <v>Oversampling</v>
      </c>
      <c r="C121" s="1" t="s">
        <v>74</v>
      </c>
      <c r="D121" s="1" t="n">
        <v>0.4245</v>
      </c>
      <c r="E121" s="1" t="n">
        <v>0.3401</v>
      </c>
      <c r="F121" s="1" t="n">
        <v>0.374</v>
      </c>
      <c r="G121" s="1" t="n">
        <v>0.3414</v>
      </c>
      <c r="I121" s="1"/>
      <c r="J121" s="1"/>
      <c r="K121" s="1"/>
      <c r="L121" s="1" t="str">
        <f aca="false">IF(  OR(ISNUMBER(SEARCH("SMOTEENN",A121)),ISNUMBER(SEARCH("SMOTETomek",A121))),  "Hybrid",  IF(   AND(    OR(ISNUMBER(SEARCH("SMOTE",A121)),ISNUMBER(SEARCH("SVMSMOTE",A121)),ISNUMBER(SEARCH("RandomOverSampler",A121)),ISNUMBER(SEARCH("BorderlineSmote",A121))),    OR(ISNUMBER(SEARCH("RandomUnderSampler",A121)),ISNUMBER(SEARCH("ClusterCentroids",A121)),ISNUMBER(SEARCH("OneSidedSelection",A121)))   ),   "Over+Under",   IF(    OR(ISNUMBER(SEARCH("SMOTE",A121)),ISNUMBER(SEARCH("SVMSMOTE",A121)),ISNUMBER(SEARCH("RandomOverSampler",A121)),ISNUMBER(SEARCH("BorderlineSmote",A121))),    "Oversampling",    IF(     OR(ISNUMBER(SEARCH("RandomUnderSampler",A121)),ISNUMBER(SEARCH("ClusterCentroids",A121)),ISNUMBER(SEARCH("OneSidedSelection",A121))),     "Undersampler",     ""    )   )  ) )</f>
        <v>Oversampling</v>
      </c>
      <c r="M121" s="1"/>
      <c r="N121" s="1"/>
    </row>
    <row r="122" customFormat="false" ht="15" hidden="false" customHeight="false" outlineLevel="0" collapsed="false">
      <c r="A122" s="1" t="s">
        <v>81</v>
      </c>
      <c r="B122" s="1" t="str">
        <f aca="false">IF(  OR(ISNUMBER(SEARCH("SMOTEENN",A122)),ISNUMBER(SEARCH("SMOTETomek",A122))),  "Hybrid",  IF(   AND(    OR(ISNUMBER(SEARCH("SMOTE",A122)),ISNUMBER(SEARCH("SVMSMOTE",A122)),ISNUMBER(SEARCH("RandomOverSampler",A122)),ISNUMBER(SEARCH("BorderlineSmote",A122))),    OR(ISNUMBER(SEARCH("RandomUnderSampler",A122)),ISNUMBER(SEARCH("ClusterCentroids",A122)),ISNUMBER(SEARCH("OneSidedSelection",A122)))   ),   "Over+Under",   IF(    OR(ISNUMBER(SEARCH("SMOTE",A122)),ISNUMBER(SEARCH("SVMSMOTE",A122)),ISNUMBER(SEARCH("RandomOverSampler",A122)),ISNUMBER(SEARCH("BorderlineSmote",A122))),    "Oversampling",    IF(     OR(ISNUMBER(SEARCH("RandomUnderSampler",A122)),ISNUMBER(SEARCH("ClusterCentroids",A122)),ISNUMBER(SEARCH("OneSidedSelection",A122))),     "Over+Under",     "Czysty"    )   )  ) )</f>
        <v>Oversampling</v>
      </c>
      <c r="C122" s="1" t="s">
        <v>74</v>
      </c>
      <c r="D122" s="1" t="n">
        <v>0.4699</v>
      </c>
      <c r="E122" s="1" t="n">
        <v>0.3367</v>
      </c>
      <c r="F122" s="1" t="n">
        <v>0.3797</v>
      </c>
      <c r="G122" s="1" t="n">
        <v>0.3515</v>
      </c>
      <c r="I122" s="1"/>
      <c r="J122" s="1"/>
      <c r="K122" s="1"/>
      <c r="L122" s="1" t="str">
        <f aca="false">IF(  OR(ISNUMBER(SEARCH("SMOTEENN",A122)),ISNUMBER(SEARCH("SMOTETomek",A122))),  "Hybrid",  IF(   AND(    OR(ISNUMBER(SEARCH("SMOTE",A122)),ISNUMBER(SEARCH("SVMSMOTE",A122)),ISNUMBER(SEARCH("RandomOverSampler",A122)),ISNUMBER(SEARCH("BorderlineSmote",A122))),    OR(ISNUMBER(SEARCH("RandomUnderSampler",A122)),ISNUMBER(SEARCH("ClusterCentroids",A122)),ISNUMBER(SEARCH("OneSidedSelection",A122)))   ),   "Over+Under",   IF(    OR(ISNUMBER(SEARCH("SMOTE",A122)),ISNUMBER(SEARCH("SVMSMOTE",A122)),ISNUMBER(SEARCH("RandomOverSampler",A122)),ISNUMBER(SEARCH("BorderlineSmote",A122))),    "Oversampling",    IF(     OR(ISNUMBER(SEARCH("RandomUnderSampler",A122)),ISNUMBER(SEARCH("ClusterCentroids",A122)),ISNUMBER(SEARCH("OneSidedSelection",A122))),     "Undersampler",     ""    )   )  ) )</f>
        <v>Oversampling</v>
      </c>
      <c r="M122" s="1"/>
      <c r="N122" s="1"/>
    </row>
    <row r="123" customFormat="false" ht="15" hidden="false" customHeight="false" outlineLevel="0" collapsed="false">
      <c r="A123" s="1" t="s">
        <v>88</v>
      </c>
      <c r="B123" s="1" t="str">
        <f aca="false">IF(  OR(ISNUMBER(SEARCH("SMOTEENN",A123)),ISNUMBER(SEARCH("SMOTETomek",A123))),  "Hybrid",  IF(   AND(    OR(ISNUMBER(SEARCH("SMOTE",A123)),ISNUMBER(SEARCH("SVMSMOTE",A123)),ISNUMBER(SEARCH("RandomOverSampler",A123)),ISNUMBER(SEARCH("BorderlineSmote",A123))),    OR(ISNUMBER(SEARCH("RandomUnderSampler",A123)),ISNUMBER(SEARCH("ClusterCentroids",A123)),ISNUMBER(SEARCH("OneSidedSelection",A123)))   ),   "Over+Under",   IF(    OR(ISNUMBER(SEARCH("SMOTE",A123)),ISNUMBER(SEARCH("SVMSMOTE",A123)),ISNUMBER(SEARCH("RandomOverSampler",A123)),ISNUMBER(SEARCH("BorderlineSmote",A123))),    "Oversampling",    IF(     OR(ISNUMBER(SEARCH("RandomUnderSampler",A123)),ISNUMBER(SEARCH("ClusterCentroids",A123)),ISNUMBER(SEARCH("OneSidedSelection",A123))),     "Over+Under",     "Czysty"    )   )  ) )</f>
        <v>Over+Under</v>
      </c>
      <c r="C123" s="1" t="s">
        <v>74</v>
      </c>
      <c r="D123" s="1" t="n">
        <v>0.4302</v>
      </c>
      <c r="E123" s="1" t="n">
        <v>0.3302</v>
      </c>
      <c r="F123" s="1" t="n">
        <v>0.3835</v>
      </c>
      <c r="G123" s="1" t="n">
        <v>0.3435</v>
      </c>
      <c r="I123" s="1"/>
      <c r="J123" s="1"/>
      <c r="K123" s="1"/>
      <c r="L123" s="1" t="str">
        <f aca="false">IF(  OR(ISNUMBER(SEARCH("SMOTEENN",A123)),ISNUMBER(SEARCH("SMOTETomek",A123))),  "Hybrid",  IF(   AND(    OR(ISNUMBER(SEARCH("SMOTE",A123)),ISNUMBER(SEARCH("SVMSMOTE",A123)),ISNUMBER(SEARCH("RandomOverSampler",A123)),ISNUMBER(SEARCH("BorderlineSmote",A123))),    OR(ISNUMBER(SEARCH("RandomUnderSampler",A123)),ISNUMBER(SEARCH("ClusterCentroids",A123)),ISNUMBER(SEARCH("OneSidedSelection",A123)))   ),   "Over+Under",   IF(    OR(ISNUMBER(SEARCH("SMOTE",A123)),ISNUMBER(SEARCH("SVMSMOTE",A123)),ISNUMBER(SEARCH("RandomOverSampler",A123)),ISNUMBER(SEARCH("BorderlineSmote",A123))),    "Oversampling",    IF(     OR(ISNUMBER(SEARCH("RandomUnderSampler",A123)),ISNUMBER(SEARCH("ClusterCentroids",A123)),ISNUMBER(SEARCH("OneSidedSelection",A123))),     "Undersampler",     ""    )   )  ) )</f>
        <v>Over+Under</v>
      </c>
      <c r="M123" s="1"/>
      <c r="N123" s="1"/>
    </row>
    <row r="124" customFormat="false" ht="15" hidden="false" customHeight="false" outlineLevel="0" collapsed="false">
      <c r="A124" s="1" t="s">
        <v>85</v>
      </c>
      <c r="B124" s="1" t="str">
        <f aca="false">IF(  OR(ISNUMBER(SEARCH("SMOTEENN",A124)),ISNUMBER(SEARCH("SMOTETomek",A124))),  "Hybrid",  IF(   AND(    OR(ISNUMBER(SEARCH("SMOTE",A124)),ISNUMBER(SEARCH("SVMSMOTE",A124)),ISNUMBER(SEARCH("RandomOverSampler",A124)),ISNUMBER(SEARCH("BorderlineSmote",A124))),    OR(ISNUMBER(SEARCH("RandomUnderSampler",A124)),ISNUMBER(SEARCH("ClusterCentroids",A124)),ISNUMBER(SEARCH("OneSidedSelection",A124)))   ),   "Over+Under",   IF(    OR(ISNUMBER(SEARCH("SMOTE",A124)),ISNUMBER(SEARCH("SVMSMOTE",A124)),ISNUMBER(SEARCH("RandomOverSampler",A124)),ISNUMBER(SEARCH("BorderlineSmote",A124))),    "Oversampling",    IF(     OR(ISNUMBER(SEARCH("RandomUnderSampler",A124)),ISNUMBER(SEARCH("ClusterCentroids",A124)),ISNUMBER(SEARCH("OneSidedSelection",A124))),     "Over+Under",     "Czysty"    )   )  ) )</f>
        <v>Over+Under</v>
      </c>
      <c r="C124" s="1" t="s">
        <v>74</v>
      </c>
      <c r="D124" s="1" t="n">
        <v>0.3363</v>
      </c>
      <c r="E124" s="1" t="n">
        <v>0.328</v>
      </c>
      <c r="F124" s="1" t="n">
        <v>0.3413</v>
      </c>
      <c r="G124" s="1" t="n">
        <v>0.3712</v>
      </c>
      <c r="I124" s="1"/>
      <c r="J124" s="1"/>
      <c r="K124" s="1"/>
      <c r="L124" s="1" t="str">
        <f aca="false">IF(  OR(ISNUMBER(SEARCH("SMOTEENN",A124)),ISNUMBER(SEARCH("SMOTETomek",A124))),  "Hybrid",  IF(   AND(    OR(ISNUMBER(SEARCH("SMOTE",A124)),ISNUMBER(SEARCH("SVMSMOTE",A124)),ISNUMBER(SEARCH("RandomOverSampler",A124)),ISNUMBER(SEARCH("BorderlineSmote",A124))),    OR(ISNUMBER(SEARCH("RandomUnderSampler",A124)),ISNUMBER(SEARCH("ClusterCentroids",A124)),ISNUMBER(SEARCH("OneSidedSelection",A124)))   ),   "Over+Under",   IF(    OR(ISNUMBER(SEARCH("SMOTE",A124)),ISNUMBER(SEARCH("SVMSMOTE",A124)),ISNUMBER(SEARCH("RandomOverSampler",A124)),ISNUMBER(SEARCH("BorderlineSmote",A124))),    "Oversampling",    IF(     OR(ISNUMBER(SEARCH("RandomUnderSampler",A124)),ISNUMBER(SEARCH("ClusterCentroids",A124)),ISNUMBER(SEARCH("OneSidedSelection",A124))),     "Undersampler",     ""    )   )  ) )</f>
        <v>Over+Under</v>
      </c>
      <c r="M124" s="1"/>
      <c r="N124" s="1"/>
    </row>
    <row r="125" customFormat="false" ht="15" hidden="false" customHeight="false" outlineLevel="0" collapsed="false">
      <c r="A125" s="1" t="s">
        <v>124</v>
      </c>
      <c r="B125" s="1" t="str">
        <f aca="false">IF(  OR(ISNUMBER(SEARCH("SMOTEENN",A125)),ISNUMBER(SEARCH("SMOTETomek",A125))),  "Hybrid",  IF(   AND(    OR(ISNUMBER(SEARCH("SMOTE",A125)),ISNUMBER(SEARCH("SVMSMOTE",A125)),ISNUMBER(SEARCH("RandomOverSampler",A125)),ISNUMBER(SEARCH("BorderlineSmote",A125))),    OR(ISNUMBER(SEARCH("RandomUnderSampler",A125)),ISNUMBER(SEARCH("ClusterCentroids",A125)),ISNUMBER(SEARCH("OneSidedSelection",A125)))   ),   "Over+Under",   IF(    OR(ISNUMBER(SEARCH("SMOTE",A125)),ISNUMBER(SEARCH("SVMSMOTE",A125)),ISNUMBER(SEARCH("RandomOverSampler",A125)),ISNUMBER(SEARCH("BorderlineSmote",A125))),    "Oversampling",    IF(     OR(ISNUMBER(SEARCH("RandomUnderSampler",A125)),ISNUMBER(SEARCH("ClusterCentroids",A125)),ISNUMBER(SEARCH("OneSidedSelection",A125))),     "Over+Under",     "Czysty"    )   )  ) )</f>
        <v>Over+Under</v>
      </c>
      <c r="C125" s="1" t="s">
        <v>74</v>
      </c>
      <c r="D125" s="1" t="n">
        <v>0.3482</v>
      </c>
      <c r="E125" s="1" t="n">
        <v>0.324</v>
      </c>
      <c r="F125" s="1" t="n">
        <v>0.3809</v>
      </c>
      <c r="G125" s="1" t="n">
        <v>0.3415</v>
      </c>
      <c r="I125" s="1"/>
      <c r="J125" s="1"/>
      <c r="K125" s="1"/>
      <c r="L125" s="1" t="str">
        <f aca="false">IF(  OR(ISNUMBER(SEARCH("SMOTEENN",A125)),ISNUMBER(SEARCH("SMOTETomek",A125))),  "Hybrid",  IF(   AND(    OR(ISNUMBER(SEARCH("SMOTE",A125)),ISNUMBER(SEARCH("SVMSMOTE",A125)),ISNUMBER(SEARCH("RandomOverSampler",A125)),ISNUMBER(SEARCH("BorderlineSmote",A125))),    OR(ISNUMBER(SEARCH("RandomUnderSampler",A125)),ISNUMBER(SEARCH("ClusterCentroids",A125)),ISNUMBER(SEARCH("OneSidedSelection",A125)))   ),   "Over+Under",   IF(    OR(ISNUMBER(SEARCH("SMOTE",A125)),ISNUMBER(SEARCH("SVMSMOTE",A125)),ISNUMBER(SEARCH("RandomOverSampler",A125)),ISNUMBER(SEARCH("BorderlineSmote",A125))),    "Oversampling",    IF(     OR(ISNUMBER(SEARCH("RandomUnderSampler",A125)),ISNUMBER(SEARCH("ClusterCentroids",A125)),ISNUMBER(SEARCH("OneSidedSelection",A125))),     "Undersampler",     ""    )   )  ) )</f>
        <v>Over+Under</v>
      </c>
      <c r="M125" s="1"/>
      <c r="N125" s="1"/>
    </row>
    <row r="126" customFormat="false" ht="15" hidden="false" customHeight="false" outlineLevel="0" collapsed="false">
      <c r="A126" s="1" t="s">
        <v>84</v>
      </c>
      <c r="B126" s="1" t="str">
        <f aca="false">IF(  OR(ISNUMBER(SEARCH("SMOTEENN",A126)),ISNUMBER(SEARCH("SMOTETomek",A126))),  "Hybrid",  IF(   AND(    OR(ISNUMBER(SEARCH("SMOTE",A126)),ISNUMBER(SEARCH("SVMSMOTE",A126)),ISNUMBER(SEARCH("RandomOverSampler",A126)),ISNUMBER(SEARCH("BorderlineSmote",A126))),    OR(ISNUMBER(SEARCH("RandomUnderSampler",A126)),ISNUMBER(SEARCH("ClusterCentroids",A126)),ISNUMBER(SEARCH("OneSidedSelection",A126)))   ),   "Over+Under",   IF(    OR(ISNUMBER(SEARCH("SMOTE",A126)),ISNUMBER(SEARCH("SVMSMOTE",A126)),ISNUMBER(SEARCH("RandomOverSampler",A126)),ISNUMBER(SEARCH("BorderlineSmote",A126))),    "Oversampling",    IF(     OR(ISNUMBER(SEARCH("RandomUnderSampler",A126)),ISNUMBER(SEARCH("ClusterCentroids",A126)),ISNUMBER(SEARCH("OneSidedSelection",A126))),     "Over+Under",     "Czysty"    )   )  ) )</f>
        <v>Over+Under</v>
      </c>
      <c r="C126" s="1" t="s">
        <v>74</v>
      </c>
      <c r="D126" s="1" t="n">
        <v>0.4464</v>
      </c>
      <c r="E126" s="1" t="n">
        <v>0.3214</v>
      </c>
      <c r="F126" s="1" t="n">
        <v>0.3428</v>
      </c>
      <c r="G126" s="1" t="n">
        <v>0.3453</v>
      </c>
      <c r="I126" s="1"/>
      <c r="J126" s="1"/>
      <c r="K126" s="1"/>
      <c r="L126" s="1" t="str">
        <f aca="false">IF(  OR(ISNUMBER(SEARCH("SMOTEENN",A126)),ISNUMBER(SEARCH("SMOTETomek",A126))),  "Hybrid",  IF(   AND(    OR(ISNUMBER(SEARCH("SMOTE",A126)),ISNUMBER(SEARCH("SVMSMOTE",A126)),ISNUMBER(SEARCH("RandomOverSampler",A126)),ISNUMBER(SEARCH("BorderlineSmote",A126))),    OR(ISNUMBER(SEARCH("RandomUnderSampler",A126)),ISNUMBER(SEARCH("ClusterCentroids",A126)),ISNUMBER(SEARCH("OneSidedSelection",A126)))   ),   "Over+Under",   IF(    OR(ISNUMBER(SEARCH("SMOTE",A126)),ISNUMBER(SEARCH("SVMSMOTE",A126)),ISNUMBER(SEARCH("RandomOverSampler",A126)),ISNUMBER(SEARCH("BorderlineSmote",A126))),    "Oversampling",    IF(     OR(ISNUMBER(SEARCH("RandomUnderSampler",A126)),ISNUMBER(SEARCH("ClusterCentroids",A126)),ISNUMBER(SEARCH("OneSidedSelection",A126))),     "Undersampler",     ""    )   )  ) )</f>
        <v>Over+Under</v>
      </c>
      <c r="M126" s="1"/>
      <c r="N126" s="1"/>
    </row>
    <row r="127" customFormat="false" ht="15" hidden="false" customHeight="false" outlineLevel="0" collapsed="false">
      <c r="A127" s="1" t="s">
        <v>123</v>
      </c>
      <c r="B127" s="1" t="str">
        <f aca="false">IF(  OR(ISNUMBER(SEARCH("SMOTEENN",A127)),ISNUMBER(SEARCH("SMOTETomek",A127))),  "Hybrid",  IF(   AND(    OR(ISNUMBER(SEARCH("SMOTE",A127)),ISNUMBER(SEARCH("SVMSMOTE",A127)),ISNUMBER(SEARCH("RandomOverSampler",A127)),ISNUMBER(SEARCH("BorderlineSmote",A127))),    OR(ISNUMBER(SEARCH("RandomUnderSampler",A127)),ISNUMBER(SEARCH("ClusterCentroids",A127)),ISNUMBER(SEARCH("OneSidedSelection",A127)))   ),   "Over+Under",   IF(    OR(ISNUMBER(SEARCH("SMOTE",A127)),ISNUMBER(SEARCH("SVMSMOTE",A127)),ISNUMBER(SEARCH("RandomOverSampler",A127)),ISNUMBER(SEARCH("BorderlineSmote",A127))),    "Oversampling",    IF(     OR(ISNUMBER(SEARCH("RandomUnderSampler",A127)),ISNUMBER(SEARCH("ClusterCentroids",A127)),ISNUMBER(SEARCH("OneSidedSelection",A127))),     "Over+Under",     "Czysty"    )   )  ) )</f>
        <v>Oversampling</v>
      </c>
      <c r="C127" s="1" t="s">
        <v>74</v>
      </c>
      <c r="D127" s="1" t="n">
        <v>0.4009</v>
      </c>
      <c r="E127" s="1" t="n">
        <v>0.3175</v>
      </c>
      <c r="F127" s="1" t="n">
        <v>0.3633</v>
      </c>
      <c r="G127" s="1" t="n">
        <v>0.3167</v>
      </c>
      <c r="I127" s="1"/>
      <c r="J127" s="1"/>
      <c r="K127" s="1"/>
      <c r="L127" s="1" t="str">
        <f aca="false">IF(  OR(ISNUMBER(SEARCH("SMOTEENN",A127)),ISNUMBER(SEARCH("SMOTETomek",A127))),  "Hybrid",  IF(   AND(    OR(ISNUMBER(SEARCH("SMOTE",A127)),ISNUMBER(SEARCH("SVMSMOTE",A127)),ISNUMBER(SEARCH("RandomOverSampler",A127)),ISNUMBER(SEARCH("BorderlineSmote",A127))),    OR(ISNUMBER(SEARCH("RandomUnderSampler",A127)),ISNUMBER(SEARCH("ClusterCentroids",A127)),ISNUMBER(SEARCH("OneSidedSelection",A127)))   ),   "Over+Under",   IF(    OR(ISNUMBER(SEARCH("SMOTE",A127)),ISNUMBER(SEARCH("SVMSMOTE",A127)),ISNUMBER(SEARCH("RandomOverSampler",A127)),ISNUMBER(SEARCH("BorderlineSmote",A127))),    "Oversampling",    IF(     OR(ISNUMBER(SEARCH("RandomUnderSampler",A127)),ISNUMBER(SEARCH("ClusterCentroids",A127)),ISNUMBER(SEARCH("OneSidedSelection",A127))),     "Undersampler",     ""    )   )  ) )</f>
        <v>Oversampling</v>
      </c>
      <c r="M127" s="1"/>
      <c r="N127" s="1"/>
    </row>
    <row r="128" customFormat="false" ht="15" hidden="false" customHeight="false" outlineLevel="0" collapsed="false">
      <c r="A128" s="1" t="s">
        <v>26</v>
      </c>
      <c r="B128" s="1" t="str">
        <f aca="false">IF(  OR(ISNUMBER(SEARCH("SMOTEENN",A128)),ISNUMBER(SEARCH("SMOTETomek",A128))),  "Hybrid",  IF(   AND(    OR(ISNUMBER(SEARCH("SMOTE",A128)),ISNUMBER(SEARCH("SVMSMOTE",A128)),ISNUMBER(SEARCH("RandomOverSampler",A128)),ISNUMBER(SEARCH("BorderlineSmote",A128))),    OR(ISNUMBER(SEARCH("RandomUnderSampler",A128)),ISNUMBER(SEARCH("ClusterCentroids",A128)),ISNUMBER(SEARCH("OneSidedSelection",A128)))   ),   "Over+Under",   IF(    OR(ISNUMBER(SEARCH("SMOTE",A128)),ISNUMBER(SEARCH("SVMSMOTE",A128)),ISNUMBER(SEARCH("RandomOverSampler",A128)),ISNUMBER(SEARCH("BorderlineSmote",A128))),    "Oversampling",    IF(     OR(ISNUMBER(SEARCH("RandomUnderSampler",A128)),ISNUMBER(SEARCH("ClusterCentroids",A128)),ISNUMBER(SEARCH("OneSidedSelection",A128))),     "Over+Under",     "Czysty"    )   )  ) )</f>
        <v>Czysty</v>
      </c>
      <c r="C128" s="1" t="s">
        <v>74</v>
      </c>
      <c r="D128" s="1" t="n">
        <v>0.4258</v>
      </c>
      <c r="E128" s="1" t="n">
        <v>0.3148</v>
      </c>
      <c r="F128" s="1" t="n">
        <v>0.3239</v>
      </c>
      <c r="G128" s="1" t="n">
        <v>0.3336</v>
      </c>
      <c r="I128" s="1"/>
      <c r="J128" s="1"/>
      <c r="K128" s="1"/>
      <c r="L128" s="1" t="str">
        <f aca="false">IF(  OR(ISNUMBER(SEARCH("SMOTEENN",A128)),ISNUMBER(SEARCH("SMOTETomek",A128))),  "Hybrid",  IF(   AND(    OR(ISNUMBER(SEARCH("SMOTE",A128)),ISNUMBER(SEARCH("SVMSMOTE",A128)),ISNUMBER(SEARCH("RandomOverSampler",A128)),ISNUMBER(SEARCH("BorderlineSmote",A128))),    OR(ISNUMBER(SEARCH("RandomUnderSampler",A128)),ISNUMBER(SEARCH("ClusterCentroids",A128)),ISNUMBER(SEARCH("OneSidedSelection",A128)))   ),   "Over+Under",   IF(    OR(ISNUMBER(SEARCH("SMOTE",A128)),ISNUMBER(SEARCH("SVMSMOTE",A128)),ISNUMBER(SEARCH("RandomOverSampler",A128)),ISNUMBER(SEARCH("BorderlineSmote",A128))),    "Oversampling",    IF(     OR(ISNUMBER(SEARCH("RandomUnderSampler",A128)),ISNUMBER(SEARCH("ClusterCentroids",A128)),ISNUMBER(SEARCH("OneSidedSelection",A128))),     "Undersampler",     ""    )   )  ) )</f>
        <v/>
      </c>
      <c r="M128" s="1"/>
      <c r="N128" s="1"/>
    </row>
    <row r="129" customFormat="false" ht="15" hidden="false" customHeight="false" outlineLevel="0" collapsed="false">
      <c r="A129" s="1" t="s">
        <v>125</v>
      </c>
      <c r="B129" s="1" t="str">
        <f aca="false">IF(  OR(ISNUMBER(SEARCH("SMOTEENN",A129)),ISNUMBER(SEARCH("SMOTETomek",A129))),  "Hybrid",  IF(   AND(    OR(ISNUMBER(SEARCH("SMOTE",A129)),ISNUMBER(SEARCH("SVMSMOTE",A129)),ISNUMBER(SEARCH("RandomOverSampler",A129)),ISNUMBER(SEARCH("BorderlineSmote",A129))),    OR(ISNUMBER(SEARCH("RandomUnderSampler",A129)),ISNUMBER(SEARCH("ClusterCentroids",A129)),ISNUMBER(SEARCH("OneSidedSelection",A129)))   ),   "Over+Under",   IF(    OR(ISNUMBER(SEARCH("SMOTE",A129)),ISNUMBER(SEARCH("SVMSMOTE",A129)),ISNUMBER(SEARCH("RandomOverSampler",A129)),ISNUMBER(SEARCH("BorderlineSmote",A129))),    "Oversampling",    IF(     OR(ISNUMBER(SEARCH("RandomUnderSampler",A129)),ISNUMBER(SEARCH("ClusterCentroids",A129)),ISNUMBER(SEARCH("OneSidedSelection",A129))),     "Over+Under",     "Czysty"    )   )  ) )</f>
        <v>Over+Under</v>
      </c>
      <c r="C129" s="1" t="s">
        <v>74</v>
      </c>
      <c r="D129" s="1" t="n">
        <v>0.2863</v>
      </c>
      <c r="E129" s="1" t="n">
        <v>0.3066</v>
      </c>
      <c r="F129" s="1" t="n">
        <v>0.3582</v>
      </c>
      <c r="G129" s="1" t="n">
        <v>0.3554</v>
      </c>
      <c r="I129" s="1"/>
      <c r="J129" s="1"/>
      <c r="K129" s="1"/>
      <c r="L129" s="1" t="str">
        <f aca="false">IF(  OR(ISNUMBER(SEARCH("SMOTEENN",A129)),ISNUMBER(SEARCH("SMOTETomek",A129))),  "Hybrid",  IF(   AND(    OR(ISNUMBER(SEARCH("SMOTE",A129)),ISNUMBER(SEARCH("SVMSMOTE",A129)),ISNUMBER(SEARCH("RandomOverSampler",A129)),ISNUMBER(SEARCH("BorderlineSmote",A129))),    OR(ISNUMBER(SEARCH("RandomUnderSampler",A129)),ISNUMBER(SEARCH("ClusterCentroids",A129)),ISNUMBER(SEARCH("OneSidedSelection",A129)))   ),   "Over+Under",   IF(    OR(ISNUMBER(SEARCH("SMOTE",A129)),ISNUMBER(SEARCH("SVMSMOTE",A129)),ISNUMBER(SEARCH("RandomOverSampler",A129)),ISNUMBER(SEARCH("BorderlineSmote",A129))),    "Oversampling",    IF(     OR(ISNUMBER(SEARCH("RandomUnderSampler",A129)),ISNUMBER(SEARCH("ClusterCentroids",A129)),ISNUMBER(SEARCH("OneSidedSelection",A129))),     "Undersampler",     ""    )   )  ) )</f>
        <v>Over+Under</v>
      </c>
      <c r="M129" s="1"/>
      <c r="N129" s="1"/>
    </row>
    <row r="130" customFormat="false" ht="15" hidden="false" customHeight="false" outlineLevel="0" collapsed="false">
      <c r="A130" s="1" t="s">
        <v>86</v>
      </c>
      <c r="B130" s="1" t="str">
        <f aca="false">IF(  OR(ISNUMBER(SEARCH("SMOTEENN",A130)),ISNUMBER(SEARCH("SMOTETomek",A130))),  "Hybrid",  IF(   AND(    OR(ISNUMBER(SEARCH("SMOTE",A130)),ISNUMBER(SEARCH("SVMSMOTE",A130)),ISNUMBER(SEARCH("RandomOverSampler",A130)),ISNUMBER(SEARCH("BorderlineSmote",A130))),    OR(ISNUMBER(SEARCH("RandomUnderSampler",A130)),ISNUMBER(SEARCH("ClusterCentroids",A130)),ISNUMBER(SEARCH("OneSidedSelection",A130)))   ),   "Over+Under",   IF(    OR(ISNUMBER(SEARCH("SMOTE",A130)),ISNUMBER(SEARCH("SVMSMOTE",A130)),ISNUMBER(SEARCH("RandomOverSampler",A130)),ISNUMBER(SEARCH("BorderlineSmote",A130))),    "Oversampling",    IF(     OR(ISNUMBER(SEARCH("RandomUnderSampler",A130)),ISNUMBER(SEARCH("ClusterCentroids",A130)),ISNUMBER(SEARCH("OneSidedSelection",A130))),     "Over+Under",     "Czysty"    )   )  ) )</f>
        <v>Over+Under</v>
      </c>
      <c r="C130" s="1" t="s">
        <v>74</v>
      </c>
      <c r="D130" s="1" t="n">
        <v>0.2834</v>
      </c>
      <c r="E130" s="1" t="n">
        <v>0.2713</v>
      </c>
      <c r="F130" s="1" t="n">
        <v>0.3373</v>
      </c>
      <c r="G130" s="1" t="n">
        <v>0.2837</v>
      </c>
      <c r="I130" s="1"/>
      <c r="J130" s="1"/>
      <c r="K130" s="1"/>
      <c r="L130" s="1" t="str">
        <f aca="false">IF(  OR(ISNUMBER(SEARCH("SMOTEENN",A130)),ISNUMBER(SEARCH("SMOTETomek",A130))),  "Hybrid",  IF(   AND(    OR(ISNUMBER(SEARCH("SMOTE",A130)),ISNUMBER(SEARCH("SVMSMOTE",A130)),ISNUMBER(SEARCH("RandomOverSampler",A130)),ISNUMBER(SEARCH("BorderlineSmote",A130))),    OR(ISNUMBER(SEARCH("RandomUnderSampler",A130)),ISNUMBER(SEARCH("ClusterCentroids",A130)),ISNUMBER(SEARCH("OneSidedSelection",A130)))   ),   "Over+Under",   IF(    OR(ISNUMBER(SEARCH("SMOTE",A130)),ISNUMBER(SEARCH("SVMSMOTE",A130)),ISNUMBER(SEARCH("RandomOverSampler",A130)),ISNUMBER(SEARCH("BorderlineSmote",A130))),    "Oversampling",    IF(     OR(ISNUMBER(SEARCH("RandomUnderSampler",A130)),ISNUMBER(SEARCH("ClusterCentroids",A130)),ISNUMBER(SEARCH("OneSidedSelection",A130))),     "Undersampler",     ""    )   )  ) )</f>
        <v>Over+Under</v>
      </c>
      <c r="M130" s="1"/>
      <c r="N130" s="1"/>
    </row>
    <row r="131" customFormat="false" ht="15" hidden="false" customHeight="false" outlineLevel="0" collapsed="false">
      <c r="A131" s="1" t="s">
        <v>87</v>
      </c>
      <c r="B131" s="1" t="str">
        <f aca="false">IF(  OR(ISNUMBER(SEARCH("SMOTEENN",A131)),ISNUMBER(SEARCH("SMOTETomek",A131))),  "Hybrid",  IF(   AND(    OR(ISNUMBER(SEARCH("SMOTE",A131)),ISNUMBER(SEARCH("SVMSMOTE",A131)),ISNUMBER(SEARCH("RandomOverSampler",A131)),ISNUMBER(SEARCH("BorderlineSmote",A131))),    OR(ISNUMBER(SEARCH("RandomUnderSampler",A131)),ISNUMBER(SEARCH("ClusterCentroids",A131)),ISNUMBER(SEARCH("OneSidedSelection",A131)))   ),   "Over+Under",   IF(    OR(ISNUMBER(SEARCH("SMOTE",A131)),ISNUMBER(SEARCH("SVMSMOTE",A131)),ISNUMBER(SEARCH("RandomOverSampler",A131)),ISNUMBER(SEARCH("BorderlineSmote",A131))),    "Oversampling",    IF(     OR(ISNUMBER(SEARCH("RandomUnderSampler",A131)),ISNUMBER(SEARCH("ClusterCentroids",A131)),ISNUMBER(SEARCH("OneSidedSelection",A131))),     "Over+Under",     "Czysty"    )   )  ) )</f>
        <v>Hybrid</v>
      </c>
      <c r="C131" s="1" t="s">
        <v>74</v>
      </c>
      <c r="D131" s="1" t="n">
        <v>0.1848</v>
      </c>
      <c r="E131" s="1" t="n">
        <v>0.2131</v>
      </c>
      <c r="F131" s="1" t="n">
        <v>0.2474</v>
      </c>
      <c r="G131" s="1" t="n">
        <v>0.3042</v>
      </c>
      <c r="I131" s="1"/>
      <c r="J131" s="1"/>
      <c r="K131" s="1"/>
      <c r="L131" s="1" t="str">
        <f aca="false">IF(  OR(ISNUMBER(SEARCH("SMOTEENN",A131)),ISNUMBER(SEARCH("SMOTETomek",A131))),  "Hybrid",  IF(   AND(    OR(ISNUMBER(SEARCH("SMOTE",A131)),ISNUMBER(SEARCH("SVMSMOTE",A131)),ISNUMBER(SEARCH("RandomOverSampler",A131)),ISNUMBER(SEARCH("BorderlineSmote",A131))),    OR(ISNUMBER(SEARCH("RandomUnderSampler",A131)),ISNUMBER(SEARCH("ClusterCentroids",A131)),ISNUMBER(SEARCH("OneSidedSelection",A131)))   ),   "Over+Under",   IF(    OR(ISNUMBER(SEARCH("SMOTE",A131)),ISNUMBER(SEARCH("SVMSMOTE",A131)),ISNUMBER(SEARCH("RandomOverSampler",A131)),ISNUMBER(SEARCH("BorderlineSmote",A131))),    "Oversampling",    IF(     OR(ISNUMBER(SEARCH("RandomUnderSampler",A131)),ISNUMBER(SEARCH("ClusterCentroids",A131)),ISNUMBER(SEARCH("OneSidedSelection",A131))),     "Undersampler",     ""    )   )  ) )</f>
        <v>Hybrid</v>
      </c>
      <c r="M131" s="1"/>
      <c r="N131" s="1"/>
    </row>
    <row r="135" customFormat="false" ht="15" hidden="false" customHeight="false" outlineLevel="0" collapsed="false">
      <c r="D135" s="4" t="s">
        <v>6</v>
      </c>
      <c r="E135" s="4" t="s">
        <v>127</v>
      </c>
      <c r="F135" s="4" t="s">
        <v>9</v>
      </c>
      <c r="G135" s="4" t="s">
        <v>10</v>
      </c>
    </row>
    <row r="136" customFormat="false" ht="15" hidden="false" customHeight="false" outlineLevel="0" collapsed="false">
      <c r="A136" s="1" t="s">
        <v>75</v>
      </c>
      <c r="D136" s="1" t="n">
        <f aca="false">ROUND(STDEV(D3:D17, D69:D83, D36:D50, D102:D116), 5)</f>
        <v>0.08806</v>
      </c>
      <c r="E136" s="1" t="n">
        <f aca="false">ROUND(STDEV(E3:E17, E69:E83, E36:E50, E102:E116), 5)</f>
        <v>0.04341</v>
      </c>
      <c r="F136" s="1" t="n">
        <f aca="false">ROUND(STDEV(F3:F17, F69:F83, F36:F50, F102:F116), 5)</f>
        <v>0.04995</v>
      </c>
      <c r="G136" s="1" t="n">
        <f aca="false">ROUND(STDEV(G3:G17, G69:G83, G36:G50, G102:G116), 5)</f>
        <v>0.03631</v>
      </c>
    </row>
    <row r="137" customFormat="false" ht="15" hidden="false" customHeight="false" outlineLevel="0" collapsed="false">
      <c r="A137" s="1" t="s">
        <v>76</v>
      </c>
      <c r="D137" s="1" t="n">
        <f aca="false">ROUND(STDEV(D18:D32, D84:D98, D51:D65, D117:D131), 5)</f>
        <v>0.08201</v>
      </c>
      <c r="E137" s="1" t="n">
        <f aca="false">ROUND(STDEV(E18:E32, E84:E98, E51:E65, E117:E131), 5)</f>
        <v>0.04586</v>
      </c>
      <c r="F137" s="1" t="n">
        <f aca="false">ROUND(STDEV(F18:F32, F84:F98, F51:F65, F117:F131), 5)</f>
        <v>0.04549</v>
      </c>
      <c r="G137" s="1" t="n">
        <f aca="false">ROUND(STDEV(G18:G32, G84:G98, G51:G65, G117:G131), 5)</f>
        <v>0.04028</v>
      </c>
    </row>
  </sheetData>
  <mergeCells count="4">
    <mergeCell ref="A1:E1"/>
    <mergeCell ref="A34:E34"/>
    <mergeCell ref="A67:E67"/>
    <mergeCell ref="A100:E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2026-01-20T15:47:16Z</dcterms:created>
  <dc:creator>openpyxl</dc:creator>
  <dc:description/>
  <dc:language>pl-PL</dc:language>
  <cp:lastModifiedBy/>
  <dcterms:modified xsi:type="dcterms:W3CDTF">2026-04-10T19:14:04Z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